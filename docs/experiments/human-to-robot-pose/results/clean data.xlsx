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</sheets>
  <definedNames/>
  <calcPr/>
</workbook>
</file>

<file path=xl/sharedStrings.xml><?xml version="1.0" encoding="utf-8"?>
<sst xmlns="http://schemas.openxmlformats.org/spreadsheetml/2006/main" count="356" uniqueCount="52">
  <si>
    <t>Avg degrees of error per measurement across 9 trials with 3 different poses</t>
  </si>
  <si>
    <t>avg error per trial (degrees)</t>
  </si>
  <si>
    <t>session_id</t>
  </si>
  <si>
    <t>timestamp</t>
  </si>
  <si>
    <t>order_index</t>
  </si>
  <si>
    <t>pose</t>
  </si>
  <si>
    <t>rep</t>
  </si>
  <si>
    <t>arm</t>
  </si>
  <si>
    <t>human_side</t>
  </si>
  <si>
    <t>measurement</t>
  </si>
  <si>
    <t>nominal_deg</t>
  </si>
  <si>
    <t>robot_deg</t>
  </si>
  <si>
    <t>error</t>
  </si>
  <si>
    <t>est_human_deg</t>
  </si>
  <si>
    <t>mapped_deg</t>
  </si>
  <si>
    <t>applied_deg</t>
  </si>
  <si>
    <t>mapped_missing</t>
  </si>
  <si>
    <t>joint_limit_clamped</t>
  </si>
  <si>
    <t>collision_clamped</t>
  </si>
  <si>
    <t>safe_fraction</t>
  </si>
  <si>
    <t>fall_blocked</t>
  </si>
  <si>
    <t>photo</t>
  </si>
  <si>
    <t>notes</t>
  </si>
  <si>
    <t>Trial 1</t>
  </si>
  <si>
    <t>20260727_125718</t>
  </si>
  <si>
    <t>muscles</t>
  </si>
  <si>
    <t>robot_left</t>
  </si>
  <si>
    <t>right</t>
  </si>
  <si>
    <t>arm_depth</t>
  </si>
  <si>
    <t>photos/01_muscles_rep2.jpg</t>
  </si>
  <si>
    <t>arm_torso_side</t>
  </si>
  <si>
    <t>elbow_bend</t>
  </si>
  <si>
    <t>robot_right</t>
  </si>
  <si>
    <t>left</t>
  </si>
  <si>
    <t>Trial 2</t>
  </si>
  <si>
    <t>arms_overhead</t>
  </si>
  <si>
    <t>photos/02_arms_overhead_rep3.jpg</t>
  </si>
  <si>
    <t>Trial 3</t>
  </si>
  <si>
    <t>arms_down</t>
  </si>
  <si>
    <t>photos/03_arms_down_rep2.jpg</t>
  </si>
  <si>
    <t>Trial 4</t>
  </si>
  <si>
    <t>photos/04_arms_overhead_rep1.jpg</t>
  </si>
  <si>
    <t>Trial 5</t>
  </si>
  <si>
    <t>photos/05_arms_overhead_rep2.jpg</t>
  </si>
  <si>
    <t>Trial 6</t>
  </si>
  <si>
    <t>photos/06_arms_down_rep3.jpg</t>
  </si>
  <si>
    <t>Trial 7</t>
  </si>
  <si>
    <t>photos/07_arms_down_rep1.jpg</t>
  </si>
  <si>
    <t>Trial 8</t>
  </si>
  <si>
    <t>photos/08_muscles_rep3.jpg</t>
  </si>
  <si>
    <t>Trial 9</t>
  </si>
  <si>
    <t>photos/09_muscles_rep1.jpg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</si>
</sst>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3C943"/>
        <bgColor rgb="FFC3C94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shrinkToFit="0" wrapText="1"/>
    </xf>
    <xf borderId="0" fillId="3" fontId="4" numFmtId="0" xfId="0" applyAlignment="1" applyFill="1" applyFont="1">
      <alignment horizontal="center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 vertical="center"/>
    </xf>
    <xf borderId="0" fillId="5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0" xfId="0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6" fontId="2" numFmtId="0" xfId="0" applyAlignment="1" applyFill="1" applyFont="1">
      <alignment horizontal="center" readingOrder="0" vertical="center"/>
    </xf>
    <xf borderId="0" fillId="6" fontId="1" numFmtId="0" xfId="0" applyAlignment="1" applyFont="1">
      <alignment readingOrder="0"/>
    </xf>
    <xf borderId="0" fillId="6" fontId="1" numFmtId="164" xfId="0" applyAlignment="1" applyFont="1" applyNumberFormat="1">
      <alignment readingOrder="0"/>
    </xf>
    <xf borderId="0" fillId="6" fontId="1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3" width="24.38"/>
  </cols>
  <sheetData>
    <row r="1" ht="26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</row>
    <row r="2" ht="82.5" customHeight="1">
      <c r="A2" s="1"/>
      <c r="B2" s="4" t="s">
        <v>0</v>
      </c>
      <c r="C2" s="5">
        <f>SUM(B5:B66)/9</f>
        <v>27.59259259</v>
      </c>
      <c r="D2" s="1"/>
      <c r="E2" s="2"/>
      <c r="F2" s="2"/>
      <c r="G2" s="2"/>
      <c r="H2" s="2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1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</row>
    <row r="5">
      <c r="A5" s="7" t="s">
        <v>23</v>
      </c>
      <c r="B5" s="7">
        <f>sum(M5:M10)/6</f>
        <v>10</v>
      </c>
      <c r="C5" s="8" t="s">
        <v>24</v>
      </c>
      <c r="D5" s="9">
        <v>46230.554131944446</v>
      </c>
      <c r="E5" s="8">
        <v>1.0</v>
      </c>
      <c r="F5" s="8" t="s">
        <v>25</v>
      </c>
      <c r="G5" s="8">
        <v>2.0</v>
      </c>
      <c r="H5" s="8" t="s">
        <v>26</v>
      </c>
      <c r="I5" s="8" t="s">
        <v>27</v>
      </c>
      <c r="J5" s="8" t="s">
        <v>28</v>
      </c>
      <c r="K5" s="8">
        <v>0.0</v>
      </c>
      <c r="L5" s="8">
        <v>15.0</v>
      </c>
      <c r="M5" s="8">
        <f t="shared" ref="M5:M10" si="1">ABS(L5-K5)</f>
        <v>15</v>
      </c>
      <c r="N5" s="8">
        <v>19.77</v>
      </c>
      <c r="O5" s="8">
        <v>19.77</v>
      </c>
      <c r="P5" s="8">
        <v>22.91</v>
      </c>
      <c r="Q5" s="8">
        <v>0.0</v>
      </c>
      <c r="R5" s="8">
        <v>0.0</v>
      </c>
      <c r="S5" s="8">
        <v>0.0</v>
      </c>
      <c r="T5" s="8">
        <v>1.0</v>
      </c>
      <c r="U5" s="8">
        <v>0.0</v>
      </c>
      <c r="V5" s="8" t="s">
        <v>29</v>
      </c>
      <c r="W5" s="10"/>
      <c r="X5" s="10"/>
      <c r="Y5" s="10"/>
      <c r="Z5" s="10"/>
      <c r="AA5" s="10"/>
      <c r="AB5" s="10"/>
      <c r="AC5" s="10"/>
    </row>
    <row r="6">
      <c r="C6" s="8" t="s">
        <v>24</v>
      </c>
      <c r="D6" s="9">
        <v>46230.554131944446</v>
      </c>
      <c r="E6" s="8">
        <v>1.0</v>
      </c>
      <c r="F6" s="8" t="s">
        <v>25</v>
      </c>
      <c r="G6" s="8">
        <v>2.0</v>
      </c>
      <c r="H6" s="8" t="s">
        <v>26</v>
      </c>
      <c r="I6" s="8" t="s">
        <v>27</v>
      </c>
      <c r="J6" s="8" t="s">
        <v>30</v>
      </c>
      <c r="K6" s="8">
        <v>90.0</v>
      </c>
      <c r="L6" s="8">
        <v>90.0</v>
      </c>
      <c r="M6" s="8">
        <f t="shared" si="1"/>
        <v>0</v>
      </c>
      <c r="N6" s="8">
        <v>107.12</v>
      </c>
      <c r="O6" s="8">
        <v>107.12</v>
      </c>
      <c r="P6" s="8">
        <v>102.85</v>
      </c>
      <c r="Q6" s="8">
        <v>0.0</v>
      </c>
      <c r="R6" s="8">
        <v>0.0</v>
      </c>
      <c r="S6" s="8">
        <v>0.0</v>
      </c>
      <c r="T6" s="8">
        <v>1.0</v>
      </c>
      <c r="U6" s="8">
        <v>0.0</v>
      </c>
      <c r="V6" s="8" t="s">
        <v>29</v>
      </c>
      <c r="W6" s="10"/>
      <c r="X6" s="10"/>
      <c r="Y6" s="10"/>
      <c r="Z6" s="10"/>
      <c r="AA6" s="10"/>
      <c r="AB6" s="10"/>
      <c r="AC6" s="10"/>
    </row>
    <row r="7">
      <c r="C7" s="8" t="s">
        <v>24</v>
      </c>
      <c r="D7" s="9">
        <v>46230.554131944446</v>
      </c>
      <c r="E7" s="8">
        <v>1.0</v>
      </c>
      <c r="F7" s="8" t="s">
        <v>25</v>
      </c>
      <c r="G7" s="8">
        <v>2.0</v>
      </c>
      <c r="H7" s="8" t="s">
        <v>26</v>
      </c>
      <c r="I7" s="8" t="s">
        <v>27</v>
      </c>
      <c r="J7" s="8" t="s">
        <v>31</v>
      </c>
      <c r="K7" s="8">
        <v>90.0</v>
      </c>
      <c r="L7" s="8">
        <v>80.0</v>
      </c>
      <c r="M7" s="8">
        <f t="shared" si="1"/>
        <v>10</v>
      </c>
      <c r="N7" s="8">
        <v>70.94</v>
      </c>
      <c r="O7" s="8">
        <v>70.94</v>
      </c>
      <c r="P7" s="8">
        <v>71.04</v>
      </c>
      <c r="Q7" s="8">
        <v>0.0</v>
      </c>
      <c r="R7" s="8">
        <v>0.0</v>
      </c>
      <c r="S7" s="8">
        <v>0.0</v>
      </c>
      <c r="T7" s="8">
        <v>1.0</v>
      </c>
      <c r="U7" s="8">
        <v>0.0</v>
      </c>
      <c r="V7" s="8" t="s">
        <v>29</v>
      </c>
      <c r="W7" s="10"/>
      <c r="X7" s="10"/>
      <c r="Y7" s="10"/>
      <c r="Z7" s="10"/>
      <c r="AA7" s="10"/>
      <c r="AB7" s="10"/>
      <c r="AC7" s="10"/>
    </row>
    <row r="8">
      <c r="C8" s="8" t="s">
        <v>24</v>
      </c>
      <c r="D8" s="9">
        <v>46230.554131944446</v>
      </c>
      <c r="E8" s="8">
        <v>1.0</v>
      </c>
      <c r="F8" s="8" t="s">
        <v>25</v>
      </c>
      <c r="G8" s="8">
        <v>2.0</v>
      </c>
      <c r="H8" s="8" t="s">
        <v>32</v>
      </c>
      <c r="I8" s="8" t="s">
        <v>33</v>
      </c>
      <c r="J8" s="8" t="s">
        <v>28</v>
      </c>
      <c r="K8" s="8">
        <v>0.0</v>
      </c>
      <c r="L8" s="8">
        <v>10.0</v>
      </c>
      <c r="M8" s="8">
        <f t="shared" si="1"/>
        <v>10</v>
      </c>
      <c r="N8" s="8">
        <v>24.18</v>
      </c>
      <c r="O8" s="8">
        <v>24.18</v>
      </c>
      <c r="P8" s="8">
        <v>24.14</v>
      </c>
      <c r="Q8" s="8">
        <v>0.0</v>
      </c>
      <c r="R8" s="8">
        <v>0.0</v>
      </c>
      <c r="S8" s="8">
        <v>0.0</v>
      </c>
      <c r="T8" s="8">
        <v>1.0</v>
      </c>
      <c r="U8" s="8">
        <v>0.0</v>
      </c>
      <c r="V8" s="8" t="s">
        <v>29</v>
      </c>
      <c r="W8" s="10"/>
      <c r="X8" s="10"/>
      <c r="Y8" s="10"/>
      <c r="Z8" s="10"/>
      <c r="AA8" s="10"/>
      <c r="AB8" s="10"/>
      <c r="AC8" s="10"/>
    </row>
    <row r="9">
      <c r="C9" s="8" t="s">
        <v>24</v>
      </c>
      <c r="D9" s="9">
        <v>46230.554131944446</v>
      </c>
      <c r="E9" s="8">
        <v>1.0</v>
      </c>
      <c r="F9" s="8" t="s">
        <v>25</v>
      </c>
      <c r="G9" s="8">
        <v>2.0</v>
      </c>
      <c r="H9" s="8" t="s">
        <v>32</v>
      </c>
      <c r="I9" s="8" t="s">
        <v>33</v>
      </c>
      <c r="J9" s="8" t="s">
        <v>30</v>
      </c>
      <c r="K9" s="8">
        <v>90.0</v>
      </c>
      <c r="L9" s="8">
        <v>90.0</v>
      </c>
      <c r="M9" s="8">
        <f t="shared" si="1"/>
        <v>0</v>
      </c>
      <c r="N9" s="8">
        <v>98.9</v>
      </c>
      <c r="O9" s="8">
        <v>98.9</v>
      </c>
      <c r="P9" s="8">
        <v>98.86</v>
      </c>
      <c r="Q9" s="8">
        <v>0.0</v>
      </c>
      <c r="R9" s="8">
        <v>0.0</v>
      </c>
      <c r="S9" s="8">
        <v>0.0</v>
      </c>
      <c r="T9" s="8">
        <v>1.0</v>
      </c>
      <c r="U9" s="8">
        <v>0.0</v>
      </c>
      <c r="V9" s="8" t="s">
        <v>29</v>
      </c>
      <c r="W9" s="10"/>
      <c r="X9" s="10"/>
      <c r="Y9" s="10"/>
      <c r="Z9" s="10"/>
      <c r="AA9" s="10"/>
      <c r="AB9" s="10"/>
      <c r="AC9" s="10"/>
    </row>
    <row r="10">
      <c r="C10" s="8" t="s">
        <v>24</v>
      </c>
      <c r="D10" s="9">
        <v>46230.554131944446</v>
      </c>
      <c r="E10" s="8">
        <v>1.0</v>
      </c>
      <c r="F10" s="8" t="s">
        <v>25</v>
      </c>
      <c r="G10" s="8">
        <v>2.0</v>
      </c>
      <c r="H10" s="8" t="s">
        <v>32</v>
      </c>
      <c r="I10" s="8" t="s">
        <v>33</v>
      </c>
      <c r="J10" s="8" t="s">
        <v>31</v>
      </c>
      <c r="K10" s="8">
        <v>90.0</v>
      </c>
      <c r="L10" s="8">
        <v>65.0</v>
      </c>
      <c r="M10" s="8">
        <f t="shared" si="1"/>
        <v>25</v>
      </c>
      <c r="N10" s="8">
        <v>79.49</v>
      </c>
      <c r="O10" s="8">
        <v>79.49</v>
      </c>
      <c r="P10" s="8">
        <v>79.44</v>
      </c>
      <c r="Q10" s="8">
        <v>0.0</v>
      </c>
      <c r="R10" s="8">
        <v>0.0</v>
      </c>
      <c r="S10" s="8">
        <v>0.0</v>
      </c>
      <c r="T10" s="8">
        <v>1.0</v>
      </c>
      <c r="U10" s="8">
        <v>0.0</v>
      </c>
      <c r="V10" s="8" t="s">
        <v>29</v>
      </c>
      <c r="W10" s="10"/>
      <c r="X10" s="10"/>
      <c r="Y10" s="10"/>
      <c r="Z10" s="10"/>
      <c r="AA10" s="10"/>
      <c r="AB10" s="10"/>
      <c r="AC10" s="10"/>
    </row>
    <row r="11">
      <c r="A11" s="11"/>
      <c r="B11" s="12"/>
      <c r="C11" s="2"/>
      <c r="D11" s="1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4" t="s">
        <v>34</v>
      </c>
      <c r="B12" s="14">
        <f>sum(M12:M17)/6</f>
        <v>60</v>
      </c>
      <c r="C12" s="15" t="s">
        <v>24</v>
      </c>
      <c r="D12" s="16">
        <v>46230.541712962964</v>
      </c>
      <c r="E12" s="15">
        <v>2.0</v>
      </c>
      <c r="F12" s="15" t="s">
        <v>35</v>
      </c>
      <c r="G12" s="15">
        <v>3.0</v>
      </c>
      <c r="H12" s="15" t="s">
        <v>26</v>
      </c>
      <c r="I12" s="15" t="s">
        <v>27</v>
      </c>
      <c r="J12" s="15" t="s">
        <v>28</v>
      </c>
      <c r="K12" s="15">
        <v>0.0</v>
      </c>
      <c r="L12" s="15">
        <v>60.0</v>
      </c>
      <c r="M12" s="15">
        <f t="shared" ref="M12:M17" si="2">ABS(L12-K12)</f>
        <v>60</v>
      </c>
      <c r="N12" s="15">
        <v>6.23</v>
      </c>
      <c r="O12" s="15">
        <v>38.56</v>
      </c>
      <c r="P12" s="15">
        <v>56.32</v>
      </c>
      <c r="Q12" s="15">
        <v>0.0</v>
      </c>
      <c r="R12" s="15">
        <v>0.0</v>
      </c>
      <c r="S12" s="15">
        <v>0.0</v>
      </c>
      <c r="T12" s="15">
        <v>1.0</v>
      </c>
      <c r="U12" s="15">
        <v>0.0</v>
      </c>
      <c r="V12" s="15" t="s">
        <v>36</v>
      </c>
      <c r="W12" s="17"/>
      <c r="X12" s="17"/>
      <c r="Y12" s="17"/>
      <c r="Z12" s="17"/>
      <c r="AA12" s="17"/>
      <c r="AB12" s="17"/>
      <c r="AC12" s="17"/>
    </row>
    <row r="13">
      <c r="C13" s="15" t="s">
        <v>24</v>
      </c>
      <c r="D13" s="16">
        <v>46230.541712962964</v>
      </c>
      <c r="E13" s="15">
        <v>2.0</v>
      </c>
      <c r="F13" s="15" t="s">
        <v>35</v>
      </c>
      <c r="G13" s="15">
        <v>3.0</v>
      </c>
      <c r="H13" s="15" t="s">
        <v>26</v>
      </c>
      <c r="I13" s="15" t="s">
        <v>27</v>
      </c>
      <c r="J13" s="15" t="s">
        <v>30</v>
      </c>
      <c r="K13" s="15">
        <v>180.0</v>
      </c>
      <c r="L13" s="15">
        <v>70.0</v>
      </c>
      <c r="M13" s="15">
        <f t="shared" si="2"/>
        <v>110</v>
      </c>
      <c r="N13" s="15">
        <v>162.14</v>
      </c>
      <c r="O13" s="15">
        <v>136.67</v>
      </c>
      <c r="P13" s="15">
        <v>118.4</v>
      </c>
      <c r="Q13" s="15">
        <v>0.0</v>
      </c>
      <c r="R13" s="15">
        <v>1.0</v>
      </c>
      <c r="S13" s="15">
        <v>0.0</v>
      </c>
      <c r="T13" s="15">
        <v>1.0</v>
      </c>
      <c r="U13" s="15">
        <v>0.0</v>
      </c>
      <c r="V13" s="15" t="s">
        <v>36</v>
      </c>
      <c r="W13" s="17"/>
      <c r="X13" s="17"/>
      <c r="Y13" s="17"/>
      <c r="Z13" s="17"/>
      <c r="AA13" s="17"/>
      <c r="AB13" s="17"/>
      <c r="AC13" s="17"/>
    </row>
    <row r="14">
      <c r="C14" s="15" t="s">
        <v>24</v>
      </c>
      <c r="D14" s="16">
        <v>46230.541712962964</v>
      </c>
      <c r="E14" s="15">
        <v>2.0</v>
      </c>
      <c r="F14" s="15" t="s">
        <v>35</v>
      </c>
      <c r="G14" s="15">
        <v>3.0</v>
      </c>
      <c r="H14" s="15" t="s">
        <v>26</v>
      </c>
      <c r="I14" s="15" t="s">
        <v>27</v>
      </c>
      <c r="J14" s="15" t="s">
        <v>31</v>
      </c>
      <c r="K14" s="15">
        <v>0.0</v>
      </c>
      <c r="L14" s="15">
        <v>35.0</v>
      </c>
      <c r="M14" s="15">
        <f t="shared" si="2"/>
        <v>35</v>
      </c>
      <c r="N14" s="15">
        <v>20.68</v>
      </c>
      <c r="O14" s="15">
        <v>20.68</v>
      </c>
      <c r="P14" s="15">
        <v>20.64</v>
      </c>
      <c r="Q14" s="15">
        <v>0.0</v>
      </c>
      <c r="R14" s="15">
        <v>0.0</v>
      </c>
      <c r="S14" s="15">
        <v>0.0</v>
      </c>
      <c r="T14" s="15">
        <v>1.0</v>
      </c>
      <c r="U14" s="15">
        <v>0.0</v>
      </c>
      <c r="V14" s="15" t="s">
        <v>36</v>
      </c>
      <c r="W14" s="17"/>
      <c r="X14" s="17"/>
      <c r="Y14" s="17"/>
      <c r="Z14" s="17"/>
      <c r="AA14" s="17"/>
      <c r="AB14" s="17"/>
      <c r="AC14" s="17"/>
    </row>
    <row r="15">
      <c r="C15" s="15" t="s">
        <v>24</v>
      </c>
      <c r="D15" s="16">
        <v>46230.541712962964</v>
      </c>
      <c r="E15" s="15">
        <v>2.0</v>
      </c>
      <c r="F15" s="15" t="s">
        <v>35</v>
      </c>
      <c r="G15" s="15">
        <v>3.0</v>
      </c>
      <c r="H15" s="15" t="s">
        <v>32</v>
      </c>
      <c r="I15" s="15" t="s">
        <v>33</v>
      </c>
      <c r="J15" s="15" t="s">
        <v>28</v>
      </c>
      <c r="K15" s="15">
        <v>0.0</v>
      </c>
      <c r="L15" s="15">
        <v>60.0</v>
      </c>
      <c r="M15" s="15">
        <f t="shared" si="2"/>
        <v>60</v>
      </c>
      <c r="N15" s="15">
        <v>6.07</v>
      </c>
      <c r="O15" s="15">
        <v>43.24</v>
      </c>
      <c r="P15" s="15">
        <v>56.64</v>
      </c>
      <c r="Q15" s="15">
        <v>0.0</v>
      </c>
      <c r="R15" s="15">
        <v>0.0</v>
      </c>
      <c r="S15" s="15">
        <v>0.0</v>
      </c>
      <c r="T15" s="15">
        <v>1.0</v>
      </c>
      <c r="U15" s="15">
        <v>0.0</v>
      </c>
      <c r="V15" s="15" t="s">
        <v>36</v>
      </c>
      <c r="W15" s="17"/>
      <c r="X15" s="17"/>
      <c r="Y15" s="17"/>
      <c r="Z15" s="17"/>
      <c r="AA15" s="17"/>
      <c r="AB15" s="17"/>
      <c r="AC15" s="17"/>
    </row>
    <row r="16">
      <c r="C16" s="15" t="s">
        <v>24</v>
      </c>
      <c r="D16" s="16">
        <v>46230.541712962964</v>
      </c>
      <c r="E16" s="15">
        <v>2.0</v>
      </c>
      <c r="F16" s="15" t="s">
        <v>35</v>
      </c>
      <c r="G16" s="15">
        <v>3.0</v>
      </c>
      <c r="H16" s="15" t="s">
        <v>32</v>
      </c>
      <c r="I16" s="15" t="s">
        <v>33</v>
      </c>
      <c r="J16" s="15" t="s">
        <v>30</v>
      </c>
      <c r="K16" s="15">
        <v>180.0</v>
      </c>
      <c r="L16" s="15">
        <v>110.0</v>
      </c>
      <c r="M16" s="15">
        <f t="shared" si="2"/>
        <v>70</v>
      </c>
      <c r="N16" s="15">
        <v>163.01</v>
      </c>
      <c r="O16" s="15">
        <v>132.5</v>
      </c>
      <c r="P16" s="15">
        <v>118.51</v>
      </c>
      <c r="Q16" s="15">
        <v>0.0</v>
      </c>
      <c r="R16" s="15">
        <v>1.0</v>
      </c>
      <c r="S16" s="15">
        <v>0.0</v>
      </c>
      <c r="T16" s="15">
        <v>1.0</v>
      </c>
      <c r="U16" s="15">
        <v>0.0</v>
      </c>
      <c r="V16" s="15" t="s">
        <v>36</v>
      </c>
      <c r="W16" s="17"/>
      <c r="X16" s="17"/>
      <c r="Y16" s="17"/>
      <c r="Z16" s="17"/>
      <c r="AA16" s="17"/>
      <c r="AB16" s="17"/>
      <c r="AC16" s="17"/>
    </row>
    <row r="17">
      <c r="C17" s="15" t="s">
        <v>24</v>
      </c>
      <c r="D17" s="16">
        <v>46230.541712962964</v>
      </c>
      <c r="E17" s="15">
        <v>2.0</v>
      </c>
      <c r="F17" s="15" t="s">
        <v>35</v>
      </c>
      <c r="G17" s="15">
        <v>3.0</v>
      </c>
      <c r="H17" s="15" t="s">
        <v>32</v>
      </c>
      <c r="I17" s="15" t="s">
        <v>33</v>
      </c>
      <c r="J17" s="15" t="s">
        <v>31</v>
      </c>
      <c r="K17" s="15">
        <v>0.0</v>
      </c>
      <c r="L17" s="15">
        <v>25.0</v>
      </c>
      <c r="M17" s="15">
        <f t="shared" si="2"/>
        <v>25</v>
      </c>
      <c r="N17" s="15">
        <v>19.09</v>
      </c>
      <c r="O17" s="15">
        <v>19.09</v>
      </c>
      <c r="P17" s="15">
        <v>19.2</v>
      </c>
      <c r="Q17" s="15">
        <v>0.0</v>
      </c>
      <c r="R17" s="15">
        <v>0.0</v>
      </c>
      <c r="S17" s="15">
        <v>0.0</v>
      </c>
      <c r="T17" s="15">
        <v>1.0</v>
      </c>
      <c r="U17" s="15">
        <v>0.0</v>
      </c>
      <c r="V17" s="15" t="s">
        <v>36</v>
      </c>
      <c r="W17" s="17"/>
      <c r="X17" s="17"/>
      <c r="Y17" s="17"/>
      <c r="Z17" s="17"/>
      <c r="AA17" s="17"/>
      <c r="AB17" s="17"/>
      <c r="AC17" s="17"/>
    </row>
    <row r="18">
      <c r="A18" s="11"/>
      <c r="B18" s="12"/>
      <c r="C18" s="2"/>
      <c r="D18" s="1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7" t="s">
        <v>37</v>
      </c>
      <c r="B19" s="7">
        <f>sum(M19:M24)/6</f>
        <v>19.16666667</v>
      </c>
      <c r="C19" s="8" t="s">
        <v>24</v>
      </c>
      <c r="D19" s="9">
        <v>46230.54373842593</v>
      </c>
      <c r="E19" s="8">
        <v>3.0</v>
      </c>
      <c r="F19" s="8" t="s">
        <v>38</v>
      </c>
      <c r="G19" s="8">
        <v>2.0</v>
      </c>
      <c r="H19" s="8" t="s">
        <v>26</v>
      </c>
      <c r="I19" s="8" t="s">
        <v>27</v>
      </c>
      <c r="J19" s="8" t="s">
        <v>28</v>
      </c>
      <c r="K19" s="8">
        <v>0.0</v>
      </c>
      <c r="L19" s="8">
        <v>0.0</v>
      </c>
      <c r="M19" s="8">
        <f t="shared" ref="M19:M24" si="3">ABS(L19-K19)</f>
        <v>0</v>
      </c>
      <c r="N19" s="8">
        <v>-0.25</v>
      </c>
      <c r="O19" s="8">
        <v>-0.25</v>
      </c>
      <c r="P19" s="8">
        <v>-0.23</v>
      </c>
      <c r="Q19" s="8">
        <v>0.0</v>
      </c>
      <c r="R19" s="8">
        <v>0.0</v>
      </c>
      <c r="S19" s="8">
        <v>0.0</v>
      </c>
      <c r="T19" s="8">
        <v>1.0</v>
      </c>
      <c r="U19" s="8">
        <v>0.0</v>
      </c>
      <c r="V19" s="8" t="s">
        <v>39</v>
      </c>
      <c r="W19" s="10"/>
      <c r="X19" s="10"/>
      <c r="Y19" s="10"/>
      <c r="Z19" s="10"/>
      <c r="AA19" s="10"/>
      <c r="AB19" s="10"/>
      <c r="AC19" s="10"/>
    </row>
    <row r="20">
      <c r="C20" s="8" t="s">
        <v>24</v>
      </c>
      <c r="D20" s="9">
        <v>46230.54373842593</v>
      </c>
      <c r="E20" s="8">
        <v>3.0</v>
      </c>
      <c r="F20" s="8" t="s">
        <v>38</v>
      </c>
      <c r="G20" s="8">
        <v>2.0</v>
      </c>
      <c r="H20" s="8" t="s">
        <v>26</v>
      </c>
      <c r="I20" s="8" t="s">
        <v>27</v>
      </c>
      <c r="J20" s="8" t="s">
        <v>30</v>
      </c>
      <c r="K20" s="8">
        <v>0.0</v>
      </c>
      <c r="L20" s="8">
        <v>25.0</v>
      </c>
      <c r="M20" s="8">
        <f t="shared" si="3"/>
        <v>25</v>
      </c>
      <c r="N20" s="8">
        <v>12.5</v>
      </c>
      <c r="O20" s="8">
        <v>12.5</v>
      </c>
      <c r="P20" s="8">
        <v>12.48</v>
      </c>
      <c r="Q20" s="8">
        <v>0.0</v>
      </c>
      <c r="R20" s="8">
        <v>0.0</v>
      </c>
      <c r="S20" s="8">
        <v>0.0</v>
      </c>
      <c r="T20" s="8">
        <v>1.0</v>
      </c>
      <c r="U20" s="8">
        <v>0.0</v>
      </c>
      <c r="V20" s="8" t="s">
        <v>39</v>
      </c>
      <c r="W20" s="10"/>
      <c r="X20" s="10"/>
      <c r="Y20" s="10"/>
      <c r="Z20" s="10"/>
      <c r="AA20" s="10"/>
      <c r="AB20" s="10"/>
      <c r="AC20" s="10"/>
    </row>
    <row r="21">
      <c r="C21" s="8" t="s">
        <v>24</v>
      </c>
      <c r="D21" s="9">
        <v>46230.54373842593</v>
      </c>
      <c r="E21" s="8">
        <v>3.0</v>
      </c>
      <c r="F21" s="8" t="s">
        <v>38</v>
      </c>
      <c r="G21" s="8">
        <v>2.0</v>
      </c>
      <c r="H21" s="8" t="s">
        <v>26</v>
      </c>
      <c r="I21" s="8" t="s">
        <v>27</v>
      </c>
      <c r="J21" s="8" t="s">
        <v>31</v>
      </c>
      <c r="K21" s="8">
        <v>0.0</v>
      </c>
      <c r="L21" s="8">
        <v>35.0</v>
      </c>
      <c r="M21" s="8">
        <f t="shared" si="3"/>
        <v>35</v>
      </c>
      <c r="N21" s="8">
        <v>28.65</v>
      </c>
      <c r="O21" s="8">
        <v>28.65</v>
      </c>
      <c r="P21" s="8">
        <v>28.56</v>
      </c>
      <c r="Q21" s="8">
        <v>0.0</v>
      </c>
      <c r="R21" s="8">
        <v>0.0</v>
      </c>
      <c r="S21" s="8">
        <v>0.0</v>
      </c>
      <c r="T21" s="8">
        <v>1.0</v>
      </c>
      <c r="U21" s="8">
        <v>0.0</v>
      </c>
      <c r="V21" s="8" t="s">
        <v>39</v>
      </c>
      <c r="W21" s="10"/>
      <c r="X21" s="10"/>
      <c r="Y21" s="10"/>
      <c r="Z21" s="10"/>
      <c r="AA21" s="10"/>
      <c r="AB21" s="10"/>
      <c r="AC21" s="10"/>
    </row>
    <row r="22">
      <c r="C22" s="8" t="s">
        <v>24</v>
      </c>
      <c r="D22" s="9">
        <v>46230.54373842593</v>
      </c>
      <c r="E22" s="8">
        <v>3.0</v>
      </c>
      <c r="F22" s="8" t="s">
        <v>38</v>
      </c>
      <c r="G22" s="8">
        <v>2.0</v>
      </c>
      <c r="H22" s="8" t="s">
        <v>32</v>
      </c>
      <c r="I22" s="8" t="s">
        <v>33</v>
      </c>
      <c r="J22" s="8" t="s">
        <v>28</v>
      </c>
      <c r="K22" s="8">
        <v>0.0</v>
      </c>
      <c r="L22" s="8">
        <v>0.0</v>
      </c>
      <c r="M22" s="8">
        <f t="shared" si="3"/>
        <v>0</v>
      </c>
      <c r="N22" s="8">
        <v>-2.83</v>
      </c>
      <c r="O22" s="8">
        <v>-2.83</v>
      </c>
      <c r="P22" s="8">
        <v>-2.84</v>
      </c>
      <c r="Q22" s="8">
        <v>0.0</v>
      </c>
      <c r="R22" s="8">
        <v>0.0</v>
      </c>
      <c r="S22" s="8">
        <v>0.0</v>
      </c>
      <c r="T22" s="8">
        <v>1.0</v>
      </c>
      <c r="U22" s="8">
        <v>0.0</v>
      </c>
      <c r="V22" s="8" t="s">
        <v>39</v>
      </c>
      <c r="W22" s="10"/>
      <c r="X22" s="10"/>
      <c r="Y22" s="10"/>
      <c r="Z22" s="10"/>
      <c r="AA22" s="10"/>
      <c r="AB22" s="10"/>
      <c r="AC22" s="10"/>
    </row>
    <row r="23">
      <c r="C23" s="8" t="s">
        <v>24</v>
      </c>
      <c r="D23" s="9">
        <v>46230.54373842593</v>
      </c>
      <c r="E23" s="8">
        <v>3.0</v>
      </c>
      <c r="F23" s="8" t="s">
        <v>38</v>
      </c>
      <c r="G23" s="8">
        <v>2.0</v>
      </c>
      <c r="H23" s="8" t="s">
        <v>32</v>
      </c>
      <c r="I23" s="8" t="s">
        <v>33</v>
      </c>
      <c r="J23" s="8" t="s">
        <v>30</v>
      </c>
      <c r="K23" s="8">
        <v>0.0</v>
      </c>
      <c r="L23" s="8">
        <v>20.0</v>
      </c>
      <c r="M23" s="8">
        <f t="shared" si="3"/>
        <v>20</v>
      </c>
      <c r="N23" s="8">
        <v>9.94</v>
      </c>
      <c r="O23" s="8">
        <v>9.94</v>
      </c>
      <c r="P23" s="8">
        <v>10.02</v>
      </c>
      <c r="Q23" s="8">
        <v>0.0</v>
      </c>
      <c r="R23" s="8">
        <v>0.0</v>
      </c>
      <c r="S23" s="8">
        <v>0.0</v>
      </c>
      <c r="T23" s="8">
        <v>1.0</v>
      </c>
      <c r="U23" s="8">
        <v>0.0</v>
      </c>
      <c r="V23" s="8" t="s">
        <v>39</v>
      </c>
      <c r="W23" s="10"/>
      <c r="X23" s="10"/>
      <c r="Y23" s="10"/>
      <c r="Z23" s="10"/>
      <c r="AA23" s="10"/>
      <c r="AB23" s="10"/>
      <c r="AC23" s="10"/>
    </row>
    <row r="24">
      <c r="C24" s="8" t="s">
        <v>24</v>
      </c>
      <c r="D24" s="9">
        <v>46230.54373842593</v>
      </c>
      <c r="E24" s="8">
        <v>3.0</v>
      </c>
      <c r="F24" s="8" t="s">
        <v>38</v>
      </c>
      <c r="G24" s="8">
        <v>2.0</v>
      </c>
      <c r="H24" s="8" t="s">
        <v>32</v>
      </c>
      <c r="I24" s="8" t="s">
        <v>33</v>
      </c>
      <c r="J24" s="8" t="s">
        <v>31</v>
      </c>
      <c r="K24" s="8">
        <v>0.0</v>
      </c>
      <c r="L24" s="8">
        <v>35.0</v>
      </c>
      <c r="M24" s="8">
        <f t="shared" si="3"/>
        <v>35</v>
      </c>
      <c r="N24" s="8">
        <v>29.1</v>
      </c>
      <c r="O24" s="8">
        <v>29.1</v>
      </c>
      <c r="P24" s="8">
        <v>29.04</v>
      </c>
      <c r="Q24" s="8">
        <v>0.0</v>
      </c>
      <c r="R24" s="8">
        <v>0.0</v>
      </c>
      <c r="S24" s="8">
        <v>0.0</v>
      </c>
      <c r="T24" s="8">
        <v>1.0</v>
      </c>
      <c r="U24" s="8">
        <v>0.0</v>
      </c>
      <c r="V24" s="8" t="s">
        <v>39</v>
      </c>
      <c r="W24" s="10"/>
      <c r="X24" s="10"/>
      <c r="Y24" s="10"/>
      <c r="Z24" s="10"/>
      <c r="AA24" s="10"/>
      <c r="AB24" s="10"/>
      <c r="AC24" s="10"/>
    </row>
    <row r="25">
      <c r="A25" s="11"/>
      <c r="B25" s="12"/>
      <c r="C25" s="2"/>
      <c r="D25" s="1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4" t="s">
        <v>40</v>
      </c>
      <c r="B26" s="14">
        <f>sum(M26:M31)/6</f>
        <v>61.66666667</v>
      </c>
      <c r="C26" s="15" t="s">
        <v>24</v>
      </c>
      <c r="D26" s="16">
        <v>46230.54524305555</v>
      </c>
      <c r="E26" s="15">
        <v>4.0</v>
      </c>
      <c r="F26" s="15" t="s">
        <v>35</v>
      </c>
      <c r="G26" s="15">
        <v>1.0</v>
      </c>
      <c r="H26" s="15" t="s">
        <v>26</v>
      </c>
      <c r="I26" s="15" t="s">
        <v>27</v>
      </c>
      <c r="J26" s="15" t="s">
        <v>28</v>
      </c>
      <c r="K26" s="15">
        <v>0.0</v>
      </c>
      <c r="L26" s="15">
        <v>70.0</v>
      </c>
      <c r="M26" s="15">
        <f t="shared" ref="M26:M31" si="4">ABS(L26-K26)</f>
        <v>70</v>
      </c>
      <c r="N26" s="15">
        <v>6.87</v>
      </c>
      <c r="O26" s="15">
        <v>39.2</v>
      </c>
      <c r="P26" s="15">
        <v>57.52</v>
      </c>
      <c r="Q26" s="15">
        <v>0.0</v>
      </c>
      <c r="R26" s="15">
        <v>0.0</v>
      </c>
      <c r="S26" s="15">
        <v>0.0</v>
      </c>
      <c r="T26" s="15">
        <v>1.0</v>
      </c>
      <c r="U26" s="15">
        <v>0.0</v>
      </c>
      <c r="V26" s="15" t="s">
        <v>41</v>
      </c>
      <c r="W26" s="17"/>
      <c r="X26" s="17"/>
      <c r="Y26" s="17"/>
      <c r="Z26" s="17"/>
      <c r="AA26" s="17"/>
      <c r="AB26" s="17"/>
      <c r="AC26" s="17"/>
    </row>
    <row r="27">
      <c r="C27" s="15" t="s">
        <v>24</v>
      </c>
      <c r="D27" s="16">
        <v>46230.54524305555</v>
      </c>
      <c r="E27" s="15">
        <v>4.0</v>
      </c>
      <c r="F27" s="15" t="s">
        <v>35</v>
      </c>
      <c r="G27" s="15">
        <v>1.0</v>
      </c>
      <c r="H27" s="15" t="s">
        <v>26</v>
      </c>
      <c r="I27" s="15" t="s">
        <v>27</v>
      </c>
      <c r="J27" s="15" t="s">
        <v>30</v>
      </c>
      <c r="K27" s="15">
        <v>180.0</v>
      </c>
      <c r="L27" s="15">
        <v>75.0</v>
      </c>
      <c r="M27" s="15">
        <f t="shared" si="4"/>
        <v>105</v>
      </c>
      <c r="N27" s="15">
        <v>164.53</v>
      </c>
      <c r="O27" s="15">
        <v>137.51</v>
      </c>
      <c r="P27" s="15">
        <v>118.82</v>
      </c>
      <c r="Q27" s="15">
        <v>0.0</v>
      </c>
      <c r="R27" s="15">
        <v>1.0</v>
      </c>
      <c r="S27" s="15">
        <v>0.0</v>
      </c>
      <c r="T27" s="15">
        <v>1.0</v>
      </c>
      <c r="U27" s="15">
        <v>0.0</v>
      </c>
      <c r="V27" s="15" t="s">
        <v>41</v>
      </c>
      <c r="W27" s="17"/>
      <c r="X27" s="17"/>
      <c r="Y27" s="17"/>
      <c r="Z27" s="17"/>
      <c r="AA27" s="17"/>
      <c r="AB27" s="17"/>
      <c r="AC27" s="17"/>
    </row>
    <row r="28">
      <c r="C28" s="15" t="s">
        <v>24</v>
      </c>
      <c r="D28" s="16">
        <v>46230.54524305555</v>
      </c>
      <c r="E28" s="15">
        <v>4.0</v>
      </c>
      <c r="F28" s="15" t="s">
        <v>35</v>
      </c>
      <c r="G28" s="15">
        <v>1.0</v>
      </c>
      <c r="H28" s="15" t="s">
        <v>26</v>
      </c>
      <c r="I28" s="15" t="s">
        <v>27</v>
      </c>
      <c r="J28" s="15" t="s">
        <v>31</v>
      </c>
      <c r="K28" s="15">
        <v>0.0</v>
      </c>
      <c r="L28" s="15">
        <v>35.0</v>
      </c>
      <c r="M28" s="15">
        <f t="shared" si="4"/>
        <v>35</v>
      </c>
      <c r="N28" s="15">
        <v>23.61</v>
      </c>
      <c r="O28" s="15">
        <v>23.61</v>
      </c>
      <c r="P28" s="15">
        <v>23.52</v>
      </c>
      <c r="Q28" s="15">
        <v>0.0</v>
      </c>
      <c r="R28" s="15">
        <v>0.0</v>
      </c>
      <c r="S28" s="15">
        <v>0.0</v>
      </c>
      <c r="T28" s="15">
        <v>1.0</v>
      </c>
      <c r="U28" s="15">
        <v>0.0</v>
      </c>
      <c r="V28" s="15" t="s">
        <v>41</v>
      </c>
      <c r="W28" s="17"/>
      <c r="X28" s="17"/>
      <c r="Y28" s="17"/>
      <c r="Z28" s="17"/>
      <c r="AA28" s="17"/>
      <c r="AB28" s="17"/>
      <c r="AC28" s="17"/>
    </row>
    <row r="29">
      <c r="C29" s="15" t="s">
        <v>24</v>
      </c>
      <c r="D29" s="16">
        <v>46230.54524305555</v>
      </c>
      <c r="E29" s="15">
        <v>4.0</v>
      </c>
      <c r="F29" s="15" t="s">
        <v>35</v>
      </c>
      <c r="G29" s="15">
        <v>1.0</v>
      </c>
      <c r="H29" s="15" t="s">
        <v>32</v>
      </c>
      <c r="I29" s="15" t="s">
        <v>33</v>
      </c>
      <c r="J29" s="15" t="s">
        <v>28</v>
      </c>
      <c r="K29" s="15">
        <v>0.0</v>
      </c>
      <c r="L29" s="15">
        <v>70.0</v>
      </c>
      <c r="M29" s="15">
        <f t="shared" si="4"/>
        <v>70</v>
      </c>
      <c r="N29" s="15">
        <v>4.67</v>
      </c>
      <c r="O29" s="15">
        <v>43.7</v>
      </c>
      <c r="P29" s="15">
        <v>57.43</v>
      </c>
      <c r="Q29" s="15">
        <v>0.0</v>
      </c>
      <c r="R29" s="15">
        <v>0.0</v>
      </c>
      <c r="S29" s="15">
        <v>0.0</v>
      </c>
      <c r="T29" s="15">
        <v>1.0</v>
      </c>
      <c r="U29" s="15">
        <v>0.0</v>
      </c>
      <c r="V29" s="15" t="s">
        <v>41</v>
      </c>
      <c r="W29" s="17"/>
      <c r="X29" s="17"/>
      <c r="Y29" s="17"/>
      <c r="Z29" s="17"/>
      <c r="AA29" s="17"/>
      <c r="AB29" s="17"/>
      <c r="AC29" s="17"/>
    </row>
    <row r="30">
      <c r="C30" s="15" t="s">
        <v>24</v>
      </c>
      <c r="D30" s="16">
        <v>46230.54524305555</v>
      </c>
      <c r="E30" s="15">
        <v>4.0</v>
      </c>
      <c r="F30" s="15" t="s">
        <v>35</v>
      </c>
      <c r="G30" s="15">
        <v>1.0</v>
      </c>
      <c r="H30" s="15" t="s">
        <v>32</v>
      </c>
      <c r="I30" s="15" t="s">
        <v>33</v>
      </c>
      <c r="J30" s="15" t="s">
        <v>30</v>
      </c>
      <c r="K30" s="15">
        <v>180.0</v>
      </c>
      <c r="L30" s="15">
        <v>115.0</v>
      </c>
      <c r="M30" s="15">
        <f t="shared" si="4"/>
        <v>65</v>
      </c>
      <c r="N30" s="15">
        <v>165.21</v>
      </c>
      <c r="O30" s="15">
        <v>132.95</v>
      </c>
      <c r="P30" s="15">
        <v>118.79</v>
      </c>
      <c r="Q30" s="15">
        <v>0.0</v>
      </c>
      <c r="R30" s="15">
        <v>1.0</v>
      </c>
      <c r="S30" s="15">
        <v>0.0</v>
      </c>
      <c r="T30" s="15">
        <v>1.0</v>
      </c>
      <c r="U30" s="15">
        <v>0.0</v>
      </c>
      <c r="V30" s="15" t="s">
        <v>41</v>
      </c>
      <c r="W30" s="17"/>
      <c r="X30" s="17"/>
      <c r="Y30" s="17"/>
      <c r="Z30" s="17"/>
      <c r="AA30" s="17"/>
      <c r="AB30" s="17"/>
      <c r="AC30" s="17"/>
    </row>
    <row r="31">
      <c r="C31" s="15" t="s">
        <v>24</v>
      </c>
      <c r="D31" s="16">
        <v>46230.54524305555</v>
      </c>
      <c r="E31" s="15">
        <v>4.0</v>
      </c>
      <c r="F31" s="15" t="s">
        <v>35</v>
      </c>
      <c r="G31" s="15">
        <v>1.0</v>
      </c>
      <c r="H31" s="15" t="s">
        <v>32</v>
      </c>
      <c r="I31" s="15" t="s">
        <v>33</v>
      </c>
      <c r="J31" s="15" t="s">
        <v>31</v>
      </c>
      <c r="K31" s="15">
        <v>0.0</v>
      </c>
      <c r="L31" s="15">
        <v>25.0</v>
      </c>
      <c r="M31" s="15">
        <f t="shared" si="4"/>
        <v>25</v>
      </c>
      <c r="N31" s="15">
        <v>14.28</v>
      </c>
      <c r="O31" s="15">
        <v>14.28</v>
      </c>
      <c r="P31" s="15">
        <v>14.16</v>
      </c>
      <c r="Q31" s="15">
        <v>0.0</v>
      </c>
      <c r="R31" s="15">
        <v>0.0</v>
      </c>
      <c r="S31" s="15">
        <v>0.0</v>
      </c>
      <c r="T31" s="15">
        <v>1.0</v>
      </c>
      <c r="U31" s="15">
        <v>0.0</v>
      </c>
      <c r="V31" s="15" t="s">
        <v>41</v>
      </c>
      <c r="W31" s="17"/>
      <c r="X31" s="17"/>
      <c r="Y31" s="17"/>
      <c r="Z31" s="17"/>
      <c r="AA31" s="17"/>
      <c r="AB31" s="17"/>
      <c r="AC31" s="17"/>
    </row>
    <row r="32">
      <c r="A32" s="11"/>
      <c r="B32" s="12"/>
      <c r="C32" s="2"/>
      <c r="D32" s="1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7" t="s">
        <v>42</v>
      </c>
      <c r="B33" s="7">
        <f>sum(M33:M38)/6</f>
        <v>49.16666667</v>
      </c>
      <c r="C33" s="8" t="s">
        <v>24</v>
      </c>
      <c r="D33" s="9">
        <v>46230.547534722224</v>
      </c>
      <c r="E33" s="8">
        <v>5.0</v>
      </c>
      <c r="F33" s="8" t="s">
        <v>35</v>
      </c>
      <c r="G33" s="8">
        <v>2.0</v>
      </c>
      <c r="H33" s="8" t="s">
        <v>26</v>
      </c>
      <c r="I33" s="8" t="s">
        <v>27</v>
      </c>
      <c r="J33" s="8" t="s">
        <v>28</v>
      </c>
      <c r="K33" s="8">
        <v>0.0</v>
      </c>
      <c r="L33" s="8">
        <v>20.0</v>
      </c>
      <c r="M33" s="8">
        <f t="shared" ref="M33:M38" si="5">ABS(L33-K33)</f>
        <v>20</v>
      </c>
      <c r="N33" s="8">
        <v>8.15</v>
      </c>
      <c r="O33" s="8">
        <v>40.05</v>
      </c>
      <c r="P33" s="8">
        <v>59.13</v>
      </c>
      <c r="Q33" s="8">
        <v>0.0</v>
      </c>
      <c r="R33" s="8">
        <v>0.0</v>
      </c>
      <c r="S33" s="8">
        <v>0.0</v>
      </c>
      <c r="T33" s="8">
        <v>1.0</v>
      </c>
      <c r="U33" s="8">
        <v>0.0</v>
      </c>
      <c r="V33" s="8" t="s">
        <v>43</v>
      </c>
      <c r="W33" s="10"/>
      <c r="X33" s="10"/>
      <c r="Y33" s="10"/>
      <c r="Z33" s="10"/>
      <c r="AA33" s="10"/>
      <c r="AB33" s="10"/>
      <c r="AC33" s="10"/>
    </row>
    <row r="34">
      <c r="C34" s="8" t="s">
        <v>24</v>
      </c>
      <c r="D34" s="9">
        <v>46230.547534722224</v>
      </c>
      <c r="E34" s="8">
        <v>5.0</v>
      </c>
      <c r="F34" s="8" t="s">
        <v>35</v>
      </c>
      <c r="G34" s="8">
        <v>2.0</v>
      </c>
      <c r="H34" s="8" t="s">
        <v>26</v>
      </c>
      <c r="I34" s="8" t="s">
        <v>27</v>
      </c>
      <c r="J34" s="8" t="s">
        <v>30</v>
      </c>
      <c r="K34" s="8">
        <v>180.0</v>
      </c>
      <c r="L34" s="8">
        <v>70.0</v>
      </c>
      <c r="M34" s="8">
        <f t="shared" si="5"/>
        <v>110</v>
      </c>
      <c r="N34" s="8">
        <v>168.13</v>
      </c>
      <c r="O34" s="8">
        <v>138.66</v>
      </c>
      <c r="P34" s="8">
        <v>119.38</v>
      </c>
      <c r="Q34" s="8">
        <v>0.0</v>
      </c>
      <c r="R34" s="8">
        <v>1.0</v>
      </c>
      <c r="S34" s="8">
        <v>0.0</v>
      </c>
      <c r="T34" s="8">
        <v>1.0</v>
      </c>
      <c r="U34" s="8">
        <v>0.0</v>
      </c>
      <c r="V34" s="8" t="s">
        <v>43</v>
      </c>
      <c r="W34" s="10"/>
      <c r="X34" s="10"/>
      <c r="Y34" s="10"/>
      <c r="Z34" s="10"/>
      <c r="AA34" s="10"/>
      <c r="AB34" s="10"/>
      <c r="AC34" s="10"/>
    </row>
    <row r="35">
      <c r="C35" s="8" t="s">
        <v>24</v>
      </c>
      <c r="D35" s="9">
        <v>46230.547534722224</v>
      </c>
      <c r="E35" s="8">
        <v>5.0</v>
      </c>
      <c r="F35" s="8" t="s">
        <v>35</v>
      </c>
      <c r="G35" s="8">
        <v>2.0</v>
      </c>
      <c r="H35" s="8" t="s">
        <v>26</v>
      </c>
      <c r="I35" s="8" t="s">
        <v>27</v>
      </c>
      <c r="J35" s="8" t="s">
        <v>31</v>
      </c>
      <c r="K35" s="8">
        <v>0.0</v>
      </c>
      <c r="L35" s="8">
        <v>35.0</v>
      </c>
      <c r="M35" s="8">
        <f t="shared" si="5"/>
        <v>35</v>
      </c>
      <c r="N35" s="8">
        <v>14.59</v>
      </c>
      <c r="O35" s="8">
        <v>14.59</v>
      </c>
      <c r="P35" s="8">
        <v>14.64</v>
      </c>
      <c r="Q35" s="8">
        <v>0.0</v>
      </c>
      <c r="R35" s="8">
        <v>0.0</v>
      </c>
      <c r="S35" s="8">
        <v>0.0</v>
      </c>
      <c r="T35" s="8">
        <v>1.0</v>
      </c>
      <c r="U35" s="8">
        <v>0.0</v>
      </c>
      <c r="V35" s="8" t="s">
        <v>43</v>
      </c>
      <c r="W35" s="10"/>
      <c r="X35" s="10"/>
      <c r="Y35" s="10"/>
      <c r="Z35" s="10"/>
      <c r="AA35" s="10"/>
      <c r="AB35" s="10"/>
      <c r="AC35" s="10"/>
    </row>
    <row r="36">
      <c r="C36" s="8" t="s">
        <v>24</v>
      </c>
      <c r="D36" s="9">
        <v>46230.547534722224</v>
      </c>
      <c r="E36" s="8">
        <v>5.0</v>
      </c>
      <c r="F36" s="8" t="s">
        <v>35</v>
      </c>
      <c r="G36" s="8">
        <v>2.0</v>
      </c>
      <c r="H36" s="8" t="s">
        <v>32</v>
      </c>
      <c r="I36" s="8" t="s">
        <v>33</v>
      </c>
      <c r="J36" s="8" t="s">
        <v>28</v>
      </c>
      <c r="K36" s="8">
        <v>0.0</v>
      </c>
      <c r="L36" s="8">
        <v>30.0</v>
      </c>
      <c r="M36" s="8">
        <f t="shared" si="5"/>
        <v>30</v>
      </c>
      <c r="N36" s="8">
        <v>5.84</v>
      </c>
      <c r="O36" s="8">
        <v>43.08</v>
      </c>
      <c r="P36" s="8">
        <v>56.43</v>
      </c>
      <c r="Q36" s="8">
        <v>0.0</v>
      </c>
      <c r="R36" s="8">
        <v>0.0</v>
      </c>
      <c r="S36" s="8">
        <v>0.0</v>
      </c>
      <c r="T36" s="8">
        <v>1.0</v>
      </c>
      <c r="U36" s="8">
        <v>0.0</v>
      </c>
      <c r="V36" s="8" t="s">
        <v>43</v>
      </c>
      <c r="W36" s="10"/>
      <c r="X36" s="10"/>
      <c r="Y36" s="10"/>
      <c r="Z36" s="10"/>
      <c r="AA36" s="10"/>
      <c r="AB36" s="10"/>
      <c r="AC36" s="10"/>
    </row>
    <row r="37">
      <c r="C37" s="8" t="s">
        <v>24</v>
      </c>
      <c r="D37" s="9">
        <v>46230.547534722224</v>
      </c>
      <c r="E37" s="8">
        <v>5.0</v>
      </c>
      <c r="F37" s="8" t="s">
        <v>35</v>
      </c>
      <c r="G37" s="8">
        <v>2.0</v>
      </c>
      <c r="H37" s="8" t="s">
        <v>32</v>
      </c>
      <c r="I37" s="8" t="s">
        <v>33</v>
      </c>
      <c r="J37" s="8" t="s">
        <v>30</v>
      </c>
      <c r="K37" s="8">
        <v>180.0</v>
      </c>
      <c r="L37" s="8">
        <v>105.0</v>
      </c>
      <c r="M37" s="8">
        <f t="shared" si="5"/>
        <v>75</v>
      </c>
      <c r="N37" s="8">
        <v>162.54</v>
      </c>
      <c r="O37" s="8">
        <v>132.35</v>
      </c>
      <c r="P37" s="8">
        <v>118.44</v>
      </c>
      <c r="Q37" s="8">
        <v>0.0</v>
      </c>
      <c r="R37" s="8">
        <v>1.0</v>
      </c>
      <c r="S37" s="8">
        <v>0.0</v>
      </c>
      <c r="T37" s="8">
        <v>1.0</v>
      </c>
      <c r="U37" s="8">
        <v>0.0</v>
      </c>
      <c r="V37" s="8" t="s">
        <v>43</v>
      </c>
      <c r="W37" s="10"/>
      <c r="X37" s="10"/>
      <c r="Y37" s="10"/>
      <c r="Z37" s="10"/>
      <c r="AA37" s="10"/>
      <c r="AB37" s="10"/>
      <c r="AC37" s="10"/>
    </row>
    <row r="38">
      <c r="C38" s="8" t="s">
        <v>24</v>
      </c>
      <c r="D38" s="9">
        <v>46230.547534722224</v>
      </c>
      <c r="E38" s="8">
        <v>5.0</v>
      </c>
      <c r="F38" s="8" t="s">
        <v>35</v>
      </c>
      <c r="G38" s="8">
        <v>2.0</v>
      </c>
      <c r="H38" s="8" t="s">
        <v>32</v>
      </c>
      <c r="I38" s="8" t="s">
        <v>33</v>
      </c>
      <c r="J38" s="8" t="s">
        <v>31</v>
      </c>
      <c r="K38" s="8">
        <v>0.0</v>
      </c>
      <c r="L38" s="8">
        <v>25.0</v>
      </c>
      <c r="M38" s="8">
        <f t="shared" si="5"/>
        <v>25</v>
      </c>
      <c r="N38" s="8">
        <v>19.47</v>
      </c>
      <c r="O38" s="8">
        <v>19.47</v>
      </c>
      <c r="P38" s="8">
        <v>19.44</v>
      </c>
      <c r="Q38" s="8">
        <v>0.0</v>
      </c>
      <c r="R38" s="8">
        <v>0.0</v>
      </c>
      <c r="S38" s="8">
        <v>0.0</v>
      </c>
      <c r="T38" s="8">
        <v>1.0</v>
      </c>
      <c r="U38" s="8">
        <v>0.0</v>
      </c>
      <c r="V38" s="8" t="s">
        <v>43</v>
      </c>
      <c r="W38" s="10"/>
      <c r="X38" s="10"/>
      <c r="Y38" s="10"/>
      <c r="Z38" s="10"/>
      <c r="AA38" s="10"/>
      <c r="AB38" s="10"/>
      <c r="AC38" s="10"/>
    </row>
    <row r="39">
      <c r="A39" s="11"/>
      <c r="B39" s="12"/>
      <c r="C39" s="2"/>
      <c r="D39" s="1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14" t="s">
        <v>44</v>
      </c>
      <c r="B40" s="14">
        <f>sum(M40:M45)/6</f>
        <v>15.83333333</v>
      </c>
      <c r="C40" s="15" t="s">
        <v>24</v>
      </c>
      <c r="D40" s="16">
        <v>46230.548726851855</v>
      </c>
      <c r="E40" s="15">
        <v>6.0</v>
      </c>
      <c r="F40" s="15" t="s">
        <v>38</v>
      </c>
      <c r="G40" s="15">
        <v>3.0</v>
      </c>
      <c r="H40" s="15" t="s">
        <v>26</v>
      </c>
      <c r="I40" s="15" t="s">
        <v>27</v>
      </c>
      <c r="J40" s="15" t="s">
        <v>28</v>
      </c>
      <c r="K40" s="15">
        <v>0.0</v>
      </c>
      <c r="L40" s="15">
        <v>0.0</v>
      </c>
      <c r="M40" s="15">
        <f t="shared" ref="M40:M45" si="6">ABS(L40-K40)</f>
        <v>0</v>
      </c>
      <c r="N40" s="15">
        <v>-2.48</v>
      </c>
      <c r="O40" s="15">
        <v>-2.48</v>
      </c>
      <c r="P40" s="15">
        <v>-2.59</v>
      </c>
      <c r="Q40" s="15">
        <v>0.0</v>
      </c>
      <c r="R40" s="15">
        <v>0.0</v>
      </c>
      <c r="S40" s="15">
        <v>0.0</v>
      </c>
      <c r="T40" s="15">
        <v>1.0</v>
      </c>
      <c r="U40" s="15">
        <v>0.0</v>
      </c>
      <c r="V40" s="15" t="s">
        <v>45</v>
      </c>
      <c r="W40" s="17"/>
      <c r="X40" s="17"/>
      <c r="Y40" s="17"/>
      <c r="Z40" s="17"/>
      <c r="AA40" s="17"/>
      <c r="AB40" s="17"/>
      <c r="AC40" s="17"/>
    </row>
    <row r="41">
      <c r="C41" s="15" t="s">
        <v>24</v>
      </c>
      <c r="D41" s="16">
        <v>46230.548726851855</v>
      </c>
      <c r="E41" s="15">
        <v>6.0</v>
      </c>
      <c r="F41" s="15" t="s">
        <v>38</v>
      </c>
      <c r="G41" s="15">
        <v>3.0</v>
      </c>
      <c r="H41" s="15" t="s">
        <v>26</v>
      </c>
      <c r="I41" s="15" t="s">
        <v>27</v>
      </c>
      <c r="J41" s="15" t="s">
        <v>30</v>
      </c>
      <c r="K41" s="15">
        <v>0.0</v>
      </c>
      <c r="L41" s="15">
        <v>25.0</v>
      </c>
      <c r="M41" s="15">
        <f t="shared" si="6"/>
        <v>25</v>
      </c>
      <c r="N41" s="15">
        <v>11.5</v>
      </c>
      <c r="O41" s="15">
        <v>11.5</v>
      </c>
      <c r="P41" s="15">
        <v>11.58</v>
      </c>
      <c r="Q41" s="15">
        <v>0.0</v>
      </c>
      <c r="R41" s="15">
        <v>0.0</v>
      </c>
      <c r="S41" s="15">
        <v>0.0</v>
      </c>
      <c r="T41" s="15">
        <v>1.0</v>
      </c>
      <c r="U41" s="15">
        <v>0.0</v>
      </c>
      <c r="V41" s="15" t="s">
        <v>45</v>
      </c>
      <c r="W41" s="17"/>
      <c r="X41" s="17"/>
      <c r="Y41" s="17"/>
      <c r="Z41" s="17"/>
      <c r="AA41" s="17"/>
      <c r="AB41" s="17"/>
      <c r="AC41" s="17"/>
    </row>
    <row r="42">
      <c r="C42" s="15" t="s">
        <v>24</v>
      </c>
      <c r="D42" s="16">
        <v>46230.548726851855</v>
      </c>
      <c r="E42" s="15">
        <v>6.0</v>
      </c>
      <c r="F42" s="15" t="s">
        <v>38</v>
      </c>
      <c r="G42" s="15">
        <v>3.0</v>
      </c>
      <c r="H42" s="15" t="s">
        <v>26</v>
      </c>
      <c r="I42" s="15" t="s">
        <v>27</v>
      </c>
      <c r="J42" s="15" t="s">
        <v>31</v>
      </c>
      <c r="K42" s="15">
        <v>0.0</v>
      </c>
      <c r="L42" s="15">
        <v>30.0</v>
      </c>
      <c r="M42" s="15">
        <f t="shared" si="6"/>
        <v>30</v>
      </c>
      <c r="N42" s="15">
        <v>23.94</v>
      </c>
      <c r="O42" s="15">
        <v>23.94</v>
      </c>
      <c r="P42" s="15">
        <v>24.0</v>
      </c>
      <c r="Q42" s="15">
        <v>0.0</v>
      </c>
      <c r="R42" s="15">
        <v>0.0</v>
      </c>
      <c r="S42" s="15">
        <v>0.0</v>
      </c>
      <c r="T42" s="15">
        <v>1.0</v>
      </c>
      <c r="U42" s="15">
        <v>0.0</v>
      </c>
      <c r="V42" s="15" t="s">
        <v>45</v>
      </c>
      <c r="W42" s="17"/>
      <c r="X42" s="17"/>
      <c r="Y42" s="17"/>
      <c r="Z42" s="17"/>
      <c r="AA42" s="17"/>
      <c r="AB42" s="17"/>
      <c r="AC42" s="17"/>
    </row>
    <row r="43">
      <c r="C43" s="15" t="s">
        <v>24</v>
      </c>
      <c r="D43" s="16">
        <v>46230.548726851855</v>
      </c>
      <c r="E43" s="15">
        <v>6.0</v>
      </c>
      <c r="F43" s="15" t="s">
        <v>38</v>
      </c>
      <c r="G43" s="15">
        <v>3.0</v>
      </c>
      <c r="H43" s="15" t="s">
        <v>32</v>
      </c>
      <c r="I43" s="15" t="s">
        <v>33</v>
      </c>
      <c r="J43" s="15" t="s">
        <v>28</v>
      </c>
      <c r="K43" s="15">
        <v>0.0</v>
      </c>
      <c r="L43" s="15">
        <v>0.0</v>
      </c>
      <c r="M43" s="15">
        <f t="shared" si="6"/>
        <v>0</v>
      </c>
      <c r="N43" s="15">
        <v>-3.59</v>
      </c>
      <c r="O43" s="15">
        <v>-3.59</v>
      </c>
      <c r="P43" s="15">
        <v>-3.59</v>
      </c>
      <c r="Q43" s="15">
        <v>0.0</v>
      </c>
      <c r="R43" s="15">
        <v>0.0</v>
      </c>
      <c r="S43" s="15">
        <v>0.0</v>
      </c>
      <c r="T43" s="15">
        <v>1.0</v>
      </c>
      <c r="U43" s="15">
        <v>0.0</v>
      </c>
      <c r="V43" s="15" t="s">
        <v>45</v>
      </c>
      <c r="W43" s="17"/>
      <c r="X43" s="17"/>
      <c r="Y43" s="17"/>
      <c r="Z43" s="17"/>
      <c r="AA43" s="17"/>
      <c r="AB43" s="17"/>
      <c r="AC43" s="17"/>
    </row>
    <row r="44">
      <c r="C44" s="15" t="s">
        <v>24</v>
      </c>
      <c r="D44" s="16">
        <v>46230.548726851855</v>
      </c>
      <c r="E44" s="15">
        <v>6.0</v>
      </c>
      <c r="F44" s="15" t="s">
        <v>38</v>
      </c>
      <c r="G44" s="15">
        <v>3.0</v>
      </c>
      <c r="H44" s="15" t="s">
        <v>32</v>
      </c>
      <c r="I44" s="15" t="s">
        <v>33</v>
      </c>
      <c r="J44" s="15" t="s">
        <v>30</v>
      </c>
      <c r="K44" s="15">
        <v>0.0</v>
      </c>
      <c r="L44" s="15">
        <v>15.0</v>
      </c>
      <c r="M44" s="15">
        <f t="shared" si="6"/>
        <v>15</v>
      </c>
      <c r="N44" s="15">
        <v>6.09</v>
      </c>
      <c r="O44" s="15">
        <v>6.09</v>
      </c>
      <c r="P44" s="15">
        <v>6.0</v>
      </c>
      <c r="Q44" s="15">
        <v>0.0</v>
      </c>
      <c r="R44" s="15">
        <v>0.0</v>
      </c>
      <c r="S44" s="15">
        <v>0.0</v>
      </c>
      <c r="T44" s="15">
        <v>1.0</v>
      </c>
      <c r="U44" s="15">
        <v>0.0</v>
      </c>
      <c r="V44" s="15" t="s">
        <v>45</v>
      </c>
      <c r="W44" s="17"/>
      <c r="X44" s="17"/>
      <c r="Y44" s="17"/>
      <c r="Z44" s="17"/>
      <c r="AA44" s="17"/>
      <c r="AB44" s="17"/>
      <c r="AC44" s="17"/>
    </row>
    <row r="45">
      <c r="C45" s="15" t="s">
        <v>24</v>
      </c>
      <c r="D45" s="16">
        <v>46230.548726851855</v>
      </c>
      <c r="E45" s="15">
        <v>6.0</v>
      </c>
      <c r="F45" s="15" t="s">
        <v>38</v>
      </c>
      <c r="G45" s="15">
        <v>3.0</v>
      </c>
      <c r="H45" s="15" t="s">
        <v>32</v>
      </c>
      <c r="I45" s="15" t="s">
        <v>33</v>
      </c>
      <c r="J45" s="15" t="s">
        <v>31</v>
      </c>
      <c r="K45" s="15">
        <v>0.0</v>
      </c>
      <c r="L45" s="15">
        <v>25.0</v>
      </c>
      <c r="M45" s="15">
        <f t="shared" si="6"/>
        <v>25</v>
      </c>
      <c r="N45" s="15">
        <v>23.64</v>
      </c>
      <c r="O45" s="15">
        <v>23.64</v>
      </c>
      <c r="P45" s="15">
        <v>23.76</v>
      </c>
      <c r="Q45" s="15">
        <v>0.0</v>
      </c>
      <c r="R45" s="15">
        <v>0.0</v>
      </c>
      <c r="S45" s="15">
        <v>0.0</v>
      </c>
      <c r="T45" s="15">
        <v>1.0</v>
      </c>
      <c r="U45" s="15">
        <v>0.0</v>
      </c>
      <c r="V45" s="15" t="s">
        <v>45</v>
      </c>
      <c r="W45" s="17"/>
      <c r="X45" s="17"/>
      <c r="Y45" s="17"/>
      <c r="Z45" s="17"/>
      <c r="AA45" s="17"/>
      <c r="AB45" s="17"/>
      <c r="AC45" s="17"/>
    </row>
    <row r="46">
      <c r="A46" s="11"/>
      <c r="B46" s="12"/>
      <c r="C46" s="2"/>
      <c r="D46" s="1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7" t="s">
        <v>46</v>
      </c>
      <c r="B47" s="7">
        <f>sum(M47:M52)/6</f>
        <v>16.66666667</v>
      </c>
      <c r="C47" s="8" t="s">
        <v>24</v>
      </c>
      <c r="D47" s="9">
        <v>46230.54997685185</v>
      </c>
      <c r="E47" s="8">
        <v>7.0</v>
      </c>
      <c r="F47" s="8" t="s">
        <v>38</v>
      </c>
      <c r="G47" s="8">
        <v>1.0</v>
      </c>
      <c r="H47" s="8" t="s">
        <v>26</v>
      </c>
      <c r="I47" s="8" t="s">
        <v>27</v>
      </c>
      <c r="J47" s="8" t="s">
        <v>28</v>
      </c>
      <c r="K47" s="8">
        <v>0.0</v>
      </c>
      <c r="L47" s="8">
        <v>0.0</v>
      </c>
      <c r="M47" s="8">
        <f t="shared" ref="M47:M52" si="7">ABS(L47-K47)</f>
        <v>0</v>
      </c>
      <c r="N47" s="8">
        <v>0.29</v>
      </c>
      <c r="O47" s="8">
        <v>0.29</v>
      </c>
      <c r="P47" s="8">
        <v>0.23</v>
      </c>
      <c r="Q47" s="8">
        <v>0.0</v>
      </c>
      <c r="R47" s="8">
        <v>0.0</v>
      </c>
      <c r="S47" s="8">
        <v>0.0</v>
      </c>
      <c r="T47" s="8">
        <v>1.0</v>
      </c>
      <c r="U47" s="8">
        <v>0.0</v>
      </c>
      <c r="V47" s="8" t="s">
        <v>47</v>
      </c>
      <c r="W47" s="10"/>
      <c r="X47" s="10"/>
      <c r="Y47" s="10"/>
      <c r="Z47" s="10"/>
      <c r="AA47" s="10"/>
      <c r="AB47" s="10"/>
      <c r="AC47" s="10"/>
    </row>
    <row r="48">
      <c r="C48" s="8" t="s">
        <v>24</v>
      </c>
      <c r="D48" s="9">
        <v>46230.54997685185</v>
      </c>
      <c r="E48" s="8">
        <v>7.0</v>
      </c>
      <c r="F48" s="8" t="s">
        <v>38</v>
      </c>
      <c r="G48" s="8">
        <v>1.0</v>
      </c>
      <c r="H48" s="8" t="s">
        <v>26</v>
      </c>
      <c r="I48" s="8" t="s">
        <v>27</v>
      </c>
      <c r="J48" s="8" t="s">
        <v>30</v>
      </c>
      <c r="K48" s="8">
        <v>0.0</v>
      </c>
      <c r="L48" s="8">
        <v>25.0</v>
      </c>
      <c r="M48" s="8">
        <f t="shared" si="7"/>
        <v>25</v>
      </c>
      <c r="N48" s="8">
        <v>12.29</v>
      </c>
      <c r="O48" s="8">
        <v>12.29</v>
      </c>
      <c r="P48" s="8">
        <v>12.24</v>
      </c>
      <c r="Q48" s="8">
        <v>0.0</v>
      </c>
      <c r="R48" s="8">
        <v>0.0</v>
      </c>
      <c r="S48" s="8">
        <v>0.0</v>
      </c>
      <c r="T48" s="8">
        <v>1.0</v>
      </c>
      <c r="U48" s="8">
        <v>0.0</v>
      </c>
      <c r="V48" s="8" t="s">
        <v>47</v>
      </c>
      <c r="W48" s="10"/>
      <c r="X48" s="10"/>
      <c r="Y48" s="10"/>
      <c r="Z48" s="10"/>
      <c r="AA48" s="10"/>
      <c r="AB48" s="10"/>
      <c r="AC48" s="10"/>
    </row>
    <row r="49">
      <c r="C49" s="8" t="s">
        <v>24</v>
      </c>
      <c r="D49" s="9">
        <v>46230.54997685185</v>
      </c>
      <c r="E49" s="8">
        <v>7.0</v>
      </c>
      <c r="F49" s="8" t="s">
        <v>38</v>
      </c>
      <c r="G49" s="8">
        <v>1.0</v>
      </c>
      <c r="H49" s="8" t="s">
        <v>26</v>
      </c>
      <c r="I49" s="8" t="s">
        <v>27</v>
      </c>
      <c r="J49" s="8" t="s">
        <v>31</v>
      </c>
      <c r="K49" s="8">
        <v>0.0</v>
      </c>
      <c r="L49" s="8">
        <v>30.0</v>
      </c>
      <c r="M49" s="8">
        <f t="shared" si="7"/>
        <v>30</v>
      </c>
      <c r="N49" s="8">
        <v>28.35</v>
      </c>
      <c r="O49" s="8">
        <v>28.35</v>
      </c>
      <c r="P49" s="8">
        <v>28.32</v>
      </c>
      <c r="Q49" s="8">
        <v>0.0</v>
      </c>
      <c r="R49" s="8">
        <v>0.0</v>
      </c>
      <c r="S49" s="8">
        <v>0.0</v>
      </c>
      <c r="T49" s="8">
        <v>1.0</v>
      </c>
      <c r="U49" s="8">
        <v>0.0</v>
      </c>
      <c r="V49" s="8" t="s">
        <v>47</v>
      </c>
      <c r="W49" s="10"/>
      <c r="X49" s="10"/>
      <c r="Y49" s="10"/>
      <c r="Z49" s="10"/>
      <c r="AA49" s="10"/>
      <c r="AB49" s="10"/>
      <c r="AC49" s="10"/>
    </row>
    <row r="50">
      <c r="C50" s="8" t="s">
        <v>24</v>
      </c>
      <c r="D50" s="9">
        <v>46230.54997685185</v>
      </c>
      <c r="E50" s="8">
        <v>7.0</v>
      </c>
      <c r="F50" s="8" t="s">
        <v>38</v>
      </c>
      <c r="G50" s="8">
        <v>1.0</v>
      </c>
      <c r="H50" s="8" t="s">
        <v>32</v>
      </c>
      <c r="I50" s="8" t="s">
        <v>33</v>
      </c>
      <c r="J50" s="8" t="s">
        <v>28</v>
      </c>
      <c r="K50" s="8">
        <v>0.0</v>
      </c>
      <c r="L50" s="8">
        <v>0.0</v>
      </c>
      <c r="M50" s="8">
        <f t="shared" si="7"/>
        <v>0</v>
      </c>
      <c r="N50" s="8">
        <v>-2.25</v>
      </c>
      <c r="O50" s="8">
        <v>-2.25</v>
      </c>
      <c r="P50" s="8">
        <v>-2.14</v>
      </c>
      <c r="Q50" s="8">
        <v>0.0</v>
      </c>
      <c r="R50" s="8">
        <v>0.0</v>
      </c>
      <c r="S50" s="8">
        <v>0.0</v>
      </c>
      <c r="T50" s="8">
        <v>1.0</v>
      </c>
      <c r="U50" s="8">
        <v>0.0</v>
      </c>
      <c r="V50" s="8" t="s">
        <v>47</v>
      </c>
      <c r="W50" s="10"/>
      <c r="X50" s="10"/>
      <c r="Y50" s="10"/>
      <c r="Z50" s="10"/>
      <c r="AA50" s="10"/>
      <c r="AB50" s="10"/>
      <c r="AC50" s="10"/>
    </row>
    <row r="51">
      <c r="C51" s="8" t="s">
        <v>24</v>
      </c>
      <c r="D51" s="9">
        <v>46230.54997685185</v>
      </c>
      <c r="E51" s="8">
        <v>7.0</v>
      </c>
      <c r="F51" s="8" t="s">
        <v>38</v>
      </c>
      <c r="G51" s="8">
        <v>1.0</v>
      </c>
      <c r="H51" s="8" t="s">
        <v>32</v>
      </c>
      <c r="I51" s="8" t="s">
        <v>33</v>
      </c>
      <c r="J51" s="8" t="s">
        <v>30</v>
      </c>
      <c r="K51" s="8">
        <v>0.0</v>
      </c>
      <c r="L51" s="8">
        <v>15.0</v>
      </c>
      <c r="M51" s="8">
        <f t="shared" si="7"/>
        <v>15</v>
      </c>
      <c r="N51" s="8">
        <v>8.22</v>
      </c>
      <c r="O51" s="8">
        <v>8.22</v>
      </c>
      <c r="P51" s="8">
        <v>8.21</v>
      </c>
      <c r="Q51" s="8">
        <v>0.0</v>
      </c>
      <c r="R51" s="8">
        <v>0.0</v>
      </c>
      <c r="S51" s="8">
        <v>0.0</v>
      </c>
      <c r="T51" s="8">
        <v>1.0</v>
      </c>
      <c r="U51" s="8">
        <v>0.0</v>
      </c>
      <c r="V51" s="8" t="s">
        <v>47</v>
      </c>
      <c r="W51" s="10"/>
      <c r="X51" s="10"/>
      <c r="Y51" s="10"/>
      <c r="Z51" s="10"/>
      <c r="AA51" s="10"/>
      <c r="AB51" s="10"/>
      <c r="AC51" s="10"/>
    </row>
    <row r="52">
      <c r="C52" s="8" t="s">
        <v>24</v>
      </c>
      <c r="D52" s="9">
        <v>46230.54997685185</v>
      </c>
      <c r="E52" s="8">
        <v>7.0</v>
      </c>
      <c r="F52" s="8" t="s">
        <v>38</v>
      </c>
      <c r="G52" s="8">
        <v>1.0</v>
      </c>
      <c r="H52" s="8" t="s">
        <v>32</v>
      </c>
      <c r="I52" s="8" t="s">
        <v>33</v>
      </c>
      <c r="J52" s="8" t="s">
        <v>31</v>
      </c>
      <c r="K52" s="8">
        <v>0.0</v>
      </c>
      <c r="L52" s="8">
        <v>30.0</v>
      </c>
      <c r="M52" s="8">
        <f t="shared" si="7"/>
        <v>30</v>
      </c>
      <c r="N52" s="8">
        <v>28.4</v>
      </c>
      <c r="O52" s="8">
        <v>28.4</v>
      </c>
      <c r="P52" s="8">
        <v>28.32</v>
      </c>
      <c r="Q52" s="8">
        <v>0.0</v>
      </c>
      <c r="R52" s="8">
        <v>0.0</v>
      </c>
      <c r="S52" s="8">
        <v>0.0</v>
      </c>
      <c r="T52" s="8">
        <v>1.0</v>
      </c>
      <c r="U52" s="8">
        <v>0.0</v>
      </c>
      <c r="V52" s="8" t="s">
        <v>47</v>
      </c>
      <c r="W52" s="10"/>
      <c r="X52" s="10"/>
      <c r="Y52" s="10"/>
      <c r="Z52" s="10"/>
      <c r="AA52" s="10"/>
      <c r="AB52" s="10"/>
      <c r="AC52" s="10"/>
    </row>
    <row r="53">
      <c r="A53" s="11"/>
      <c r="B53" s="12"/>
      <c r="C53" s="2"/>
      <c r="D53" s="1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4" t="s">
        <v>48</v>
      </c>
      <c r="B54" s="14">
        <f>sum(M54:M59)/6</f>
        <v>8.333333333</v>
      </c>
      <c r="C54" s="15" t="s">
        <v>24</v>
      </c>
      <c r="D54" s="16">
        <v>46230.55134259259</v>
      </c>
      <c r="E54" s="15">
        <v>8.0</v>
      </c>
      <c r="F54" s="15" t="s">
        <v>25</v>
      </c>
      <c r="G54" s="15">
        <v>3.0</v>
      </c>
      <c r="H54" s="15" t="s">
        <v>26</v>
      </c>
      <c r="I54" s="15" t="s">
        <v>27</v>
      </c>
      <c r="J54" s="15" t="s">
        <v>28</v>
      </c>
      <c r="K54" s="15">
        <v>0.0</v>
      </c>
      <c r="L54" s="15">
        <v>10.0</v>
      </c>
      <c r="M54" s="15">
        <f t="shared" ref="M54:M59" si="8">ABS(L54-K54)</f>
        <v>10</v>
      </c>
      <c r="N54" s="15">
        <v>15.57</v>
      </c>
      <c r="O54" s="15">
        <v>15.57</v>
      </c>
      <c r="P54" s="15">
        <v>19.25</v>
      </c>
      <c r="Q54" s="15">
        <v>0.0</v>
      </c>
      <c r="R54" s="15">
        <v>0.0</v>
      </c>
      <c r="S54" s="15">
        <v>0.0</v>
      </c>
      <c r="T54" s="15">
        <v>1.0</v>
      </c>
      <c r="U54" s="15">
        <v>0.0</v>
      </c>
      <c r="V54" s="15" t="s">
        <v>49</v>
      </c>
      <c r="W54" s="17"/>
      <c r="X54" s="17"/>
      <c r="Y54" s="17"/>
      <c r="Z54" s="17"/>
      <c r="AA54" s="17"/>
      <c r="AB54" s="17"/>
      <c r="AC54" s="17"/>
    </row>
    <row r="55">
      <c r="C55" s="15" t="s">
        <v>24</v>
      </c>
      <c r="D55" s="16">
        <v>46230.55134259259</v>
      </c>
      <c r="E55" s="15">
        <v>8.0</v>
      </c>
      <c r="F55" s="15" t="s">
        <v>25</v>
      </c>
      <c r="G55" s="15">
        <v>3.0</v>
      </c>
      <c r="H55" s="15" t="s">
        <v>26</v>
      </c>
      <c r="I55" s="15" t="s">
        <v>27</v>
      </c>
      <c r="J55" s="15" t="s">
        <v>30</v>
      </c>
      <c r="K55" s="15">
        <v>90.0</v>
      </c>
      <c r="L55" s="15">
        <v>90.0</v>
      </c>
      <c r="M55" s="15">
        <f t="shared" si="8"/>
        <v>0</v>
      </c>
      <c r="N55" s="15">
        <v>105.68</v>
      </c>
      <c r="O55" s="15">
        <v>105.68</v>
      </c>
      <c r="P55" s="15">
        <v>100.86</v>
      </c>
      <c r="Q55" s="15">
        <v>0.0</v>
      </c>
      <c r="R55" s="15">
        <v>0.0</v>
      </c>
      <c r="S55" s="15">
        <v>0.0</v>
      </c>
      <c r="T55" s="15">
        <v>1.0</v>
      </c>
      <c r="U55" s="15">
        <v>0.0</v>
      </c>
      <c r="V55" s="15" t="s">
        <v>49</v>
      </c>
      <c r="W55" s="17"/>
      <c r="X55" s="17"/>
      <c r="Y55" s="17"/>
      <c r="Z55" s="17"/>
      <c r="AA55" s="17"/>
      <c r="AB55" s="17"/>
      <c r="AC55" s="17"/>
    </row>
    <row r="56">
      <c r="C56" s="15" t="s">
        <v>24</v>
      </c>
      <c r="D56" s="16">
        <v>46230.55134259259</v>
      </c>
      <c r="E56" s="15">
        <v>8.0</v>
      </c>
      <c r="F56" s="15" t="s">
        <v>25</v>
      </c>
      <c r="G56" s="15">
        <v>3.0</v>
      </c>
      <c r="H56" s="15" t="s">
        <v>26</v>
      </c>
      <c r="I56" s="15" t="s">
        <v>27</v>
      </c>
      <c r="J56" s="15" t="s">
        <v>31</v>
      </c>
      <c r="K56" s="15">
        <v>90.0</v>
      </c>
      <c r="L56" s="15">
        <v>65.0</v>
      </c>
      <c r="M56" s="15">
        <f t="shared" si="8"/>
        <v>25</v>
      </c>
      <c r="N56" s="15">
        <v>69.54</v>
      </c>
      <c r="O56" s="15">
        <v>69.54</v>
      </c>
      <c r="P56" s="15">
        <v>69.6</v>
      </c>
      <c r="Q56" s="15">
        <v>0.0</v>
      </c>
      <c r="R56" s="15">
        <v>0.0</v>
      </c>
      <c r="S56" s="15">
        <v>0.0</v>
      </c>
      <c r="T56" s="15">
        <v>1.0</v>
      </c>
      <c r="U56" s="15">
        <v>0.0</v>
      </c>
      <c r="V56" s="15" t="s">
        <v>49</v>
      </c>
      <c r="W56" s="17"/>
      <c r="X56" s="17"/>
      <c r="Y56" s="17"/>
      <c r="Z56" s="17"/>
      <c r="AA56" s="17"/>
      <c r="AB56" s="17"/>
      <c r="AC56" s="17"/>
    </row>
    <row r="57">
      <c r="C57" s="15" t="s">
        <v>24</v>
      </c>
      <c r="D57" s="16">
        <v>46230.55134259259</v>
      </c>
      <c r="E57" s="15">
        <v>8.0</v>
      </c>
      <c r="F57" s="15" t="s">
        <v>25</v>
      </c>
      <c r="G57" s="15">
        <v>3.0</v>
      </c>
      <c r="H57" s="15" t="s">
        <v>32</v>
      </c>
      <c r="I57" s="15" t="s">
        <v>33</v>
      </c>
      <c r="J57" s="15" t="s">
        <v>28</v>
      </c>
      <c r="K57" s="15">
        <v>0.0</v>
      </c>
      <c r="L57" s="15">
        <v>5.0</v>
      </c>
      <c r="M57" s="15">
        <f t="shared" si="8"/>
        <v>5</v>
      </c>
      <c r="N57" s="15">
        <v>16.17</v>
      </c>
      <c r="O57" s="15">
        <v>16.17</v>
      </c>
      <c r="P57" s="15">
        <v>16.24</v>
      </c>
      <c r="Q57" s="15">
        <v>0.0</v>
      </c>
      <c r="R57" s="15">
        <v>0.0</v>
      </c>
      <c r="S57" s="15">
        <v>0.0</v>
      </c>
      <c r="T57" s="15">
        <v>1.0</v>
      </c>
      <c r="U57" s="15">
        <v>0.0</v>
      </c>
      <c r="V57" s="15" t="s">
        <v>49</v>
      </c>
      <c r="W57" s="17"/>
      <c r="X57" s="17"/>
      <c r="Y57" s="17"/>
      <c r="Z57" s="17"/>
      <c r="AA57" s="17"/>
      <c r="AB57" s="17"/>
      <c r="AC57" s="17"/>
    </row>
    <row r="58">
      <c r="C58" s="15" t="s">
        <v>24</v>
      </c>
      <c r="D58" s="16">
        <v>46230.55134259259</v>
      </c>
      <c r="E58" s="15">
        <v>8.0</v>
      </c>
      <c r="F58" s="15" t="s">
        <v>25</v>
      </c>
      <c r="G58" s="15">
        <v>3.0</v>
      </c>
      <c r="H58" s="15" t="s">
        <v>32</v>
      </c>
      <c r="I58" s="15" t="s">
        <v>33</v>
      </c>
      <c r="J58" s="15" t="s">
        <v>30</v>
      </c>
      <c r="K58" s="15">
        <v>90.0</v>
      </c>
      <c r="L58" s="15">
        <v>90.0</v>
      </c>
      <c r="M58" s="15">
        <f t="shared" si="8"/>
        <v>0</v>
      </c>
      <c r="N58" s="15">
        <v>96.95</v>
      </c>
      <c r="O58" s="15">
        <v>96.95</v>
      </c>
      <c r="P58" s="15">
        <v>96.99</v>
      </c>
      <c r="Q58" s="15">
        <v>0.0</v>
      </c>
      <c r="R58" s="15">
        <v>0.0</v>
      </c>
      <c r="S58" s="15">
        <v>0.0</v>
      </c>
      <c r="T58" s="15">
        <v>1.0</v>
      </c>
      <c r="U58" s="15">
        <v>0.0</v>
      </c>
      <c r="V58" s="15" t="s">
        <v>49</v>
      </c>
      <c r="W58" s="17"/>
      <c r="X58" s="17"/>
      <c r="Y58" s="17"/>
      <c r="Z58" s="17"/>
      <c r="AA58" s="17"/>
      <c r="AB58" s="17"/>
      <c r="AC58" s="17"/>
    </row>
    <row r="59">
      <c r="C59" s="15" t="s">
        <v>24</v>
      </c>
      <c r="D59" s="16">
        <v>46230.55134259259</v>
      </c>
      <c r="E59" s="15">
        <v>8.0</v>
      </c>
      <c r="F59" s="15" t="s">
        <v>25</v>
      </c>
      <c r="G59" s="15">
        <v>3.0</v>
      </c>
      <c r="H59" s="15" t="s">
        <v>32</v>
      </c>
      <c r="I59" s="15" t="s">
        <v>33</v>
      </c>
      <c r="J59" s="15" t="s">
        <v>31</v>
      </c>
      <c r="K59" s="15">
        <v>90.0</v>
      </c>
      <c r="L59" s="15">
        <v>80.0</v>
      </c>
      <c r="M59" s="15">
        <f t="shared" si="8"/>
        <v>10</v>
      </c>
      <c r="N59" s="15">
        <v>76.76</v>
      </c>
      <c r="O59" s="15">
        <v>76.76</v>
      </c>
      <c r="P59" s="15">
        <v>76.8</v>
      </c>
      <c r="Q59" s="15">
        <v>0.0</v>
      </c>
      <c r="R59" s="15">
        <v>0.0</v>
      </c>
      <c r="S59" s="15">
        <v>0.0</v>
      </c>
      <c r="T59" s="15">
        <v>1.0</v>
      </c>
      <c r="U59" s="15">
        <v>0.0</v>
      </c>
      <c r="V59" s="15" t="s">
        <v>49</v>
      </c>
      <c r="W59" s="17"/>
      <c r="X59" s="17"/>
      <c r="Y59" s="17"/>
      <c r="Z59" s="17"/>
      <c r="AA59" s="17"/>
      <c r="AB59" s="17"/>
      <c r="AC59" s="17"/>
    </row>
    <row r="60">
      <c r="A60" s="11"/>
      <c r="B60" s="12"/>
      <c r="C60" s="2"/>
      <c r="D60" s="1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7" t="s">
        <v>50</v>
      </c>
      <c r="B61" s="7">
        <f>sum(M61:M66)/6</f>
        <v>7.5</v>
      </c>
      <c r="C61" s="8" t="s">
        <v>24</v>
      </c>
      <c r="D61" s="9">
        <v>46230.55287037037</v>
      </c>
      <c r="E61" s="8">
        <v>9.0</v>
      </c>
      <c r="F61" s="8" t="s">
        <v>25</v>
      </c>
      <c r="G61" s="8">
        <v>1.0</v>
      </c>
      <c r="H61" s="8" t="s">
        <v>26</v>
      </c>
      <c r="I61" s="8" t="s">
        <v>27</v>
      </c>
      <c r="J61" s="8" t="s">
        <v>28</v>
      </c>
      <c r="K61" s="8">
        <v>0.0</v>
      </c>
      <c r="L61" s="8">
        <v>15.0</v>
      </c>
      <c r="M61" s="8">
        <f t="shared" ref="M61:M66" si="9">ABS(L61-K61)</f>
        <v>15</v>
      </c>
      <c r="N61" s="8">
        <v>23.06</v>
      </c>
      <c r="O61" s="8">
        <v>23.06</v>
      </c>
      <c r="P61" s="8">
        <v>24.12</v>
      </c>
      <c r="Q61" s="8">
        <v>0.0</v>
      </c>
      <c r="R61" s="8">
        <v>0.0</v>
      </c>
      <c r="S61" s="8">
        <v>0.0</v>
      </c>
      <c r="T61" s="8">
        <v>1.0</v>
      </c>
      <c r="U61" s="8">
        <v>0.0</v>
      </c>
      <c r="V61" s="8" t="s">
        <v>51</v>
      </c>
      <c r="W61" s="10"/>
      <c r="X61" s="10"/>
      <c r="Y61" s="10"/>
      <c r="Z61" s="10"/>
      <c r="AA61" s="10"/>
      <c r="AB61" s="10"/>
      <c r="AC61" s="10"/>
    </row>
    <row r="62">
      <c r="C62" s="8" t="s">
        <v>24</v>
      </c>
      <c r="D62" s="9">
        <v>46230.55287037037</v>
      </c>
      <c r="E62" s="8">
        <v>9.0</v>
      </c>
      <c r="F62" s="8" t="s">
        <v>25</v>
      </c>
      <c r="G62" s="8">
        <v>1.0</v>
      </c>
      <c r="H62" s="8" t="s">
        <v>26</v>
      </c>
      <c r="I62" s="8" t="s">
        <v>27</v>
      </c>
      <c r="J62" s="8" t="s">
        <v>30</v>
      </c>
      <c r="K62" s="8">
        <v>90.0</v>
      </c>
      <c r="L62" s="8">
        <v>85.0</v>
      </c>
      <c r="M62" s="8">
        <f t="shared" si="9"/>
        <v>5</v>
      </c>
      <c r="N62" s="8">
        <v>105.0</v>
      </c>
      <c r="O62" s="8">
        <v>105.0</v>
      </c>
      <c r="P62" s="8">
        <v>103.51</v>
      </c>
      <c r="Q62" s="8">
        <v>0.0</v>
      </c>
      <c r="R62" s="8">
        <v>0.0</v>
      </c>
      <c r="S62" s="8">
        <v>0.0</v>
      </c>
      <c r="T62" s="8">
        <v>1.0</v>
      </c>
      <c r="U62" s="8">
        <v>0.0</v>
      </c>
      <c r="V62" s="8" t="s">
        <v>51</v>
      </c>
      <c r="W62" s="10"/>
      <c r="X62" s="10"/>
      <c r="Y62" s="10"/>
      <c r="Z62" s="10"/>
      <c r="AA62" s="10"/>
      <c r="AB62" s="10"/>
      <c r="AC62" s="10"/>
    </row>
    <row r="63">
      <c r="C63" s="8" t="s">
        <v>24</v>
      </c>
      <c r="D63" s="9">
        <v>46230.55287037037</v>
      </c>
      <c r="E63" s="8">
        <v>9.0</v>
      </c>
      <c r="F63" s="8" t="s">
        <v>25</v>
      </c>
      <c r="G63" s="8">
        <v>1.0</v>
      </c>
      <c r="H63" s="8" t="s">
        <v>26</v>
      </c>
      <c r="I63" s="8" t="s">
        <v>27</v>
      </c>
      <c r="J63" s="8" t="s">
        <v>31</v>
      </c>
      <c r="K63" s="8">
        <v>90.0</v>
      </c>
      <c r="L63" s="8">
        <v>90.0</v>
      </c>
      <c r="M63" s="8">
        <f t="shared" si="9"/>
        <v>0</v>
      </c>
      <c r="N63" s="8">
        <v>77.13</v>
      </c>
      <c r="O63" s="8">
        <v>77.13</v>
      </c>
      <c r="P63" s="8">
        <v>77.04</v>
      </c>
      <c r="Q63" s="8">
        <v>0.0</v>
      </c>
      <c r="R63" s="8">
        <v>0.0</v>
      </c>
      <c r="S63" s="8">
        <v>0.0</v>
      </c>
      <c r="T63" s="8">
        <v>1.0</v>
      </c>
      <c r="U63" s="8">
        <v>0.0</v>
      </c>
      <c r="V63" s="8" t="s">
        <v>51</v>
      </c>
      <c r="W63" s="10"/>
      <c r="X63" s="10"/>
      <c r="Y63" s="10"/>
      <c r="Z63" s="10"/>
      <c r="AA63" s="10"/>
      <c r="AB63" s="10"/>
      <c r="AC63" s="10"/>
    </row>
    <row r="64">
      <c r="C64" s="8" t="s">
        <v>24</v>
      </c>
      <c r="D64" s="9">
        <v>46230.55287037037</v>
      </c>
      <c r="E64" s="8">
        <v>9.0</v>
      </c>
      <c r="F64" s="8" t="s">
        <v>25</v>
      </c>
      <c r="G64" s="8">
        <v>1.0</v>
      </c>
      <c r="H64" s="8" t="s">
        <v>32</v>
      </c>
      <c r="I64" s="8" t="s">
        <v>33</v>
      </c>
      <c r="J64" s="8" t="s">
        <v>28</v>
      </c>
      <c r="K64" s="8">
        <v>0.0</v>
      </c>
      <c r="L64" s="8">
        <v>10.0</v>
      </c>
      <c r="M64" s="8">
        <f t="shared" si="9"/>
        <v>10</v>
      </c>
      <c r="N64" s="8">
        <v>19.08</v>
      </c>
      <c r="O64" s="8">
        <v>19.08</v>
      </c>
      <c r="P64" s="8">
        <v>19.19</v>
      </c>
      <c r="Q64" s="8">
        <v>0.0</v>
      </c>
      <c r="R64" s="8">
        <v>0.0</v>
      </c>
      <c r="S64" s="8">
        <v>0.0</v>
      </c>
      <c r="T64" s="8">
        <v>1.0</v>
      </c>
      <c r="U64" s="8">
        <v>0.0</v>
      </c>
      <c r="V64" s="8" t="s">
        <v>51</v>
      </c>
      <c r="W64" s="10"/>
      <c r="X64" s="10"/>
      <c r="Y64" s="10"/>
      <c r="Z64" s="10"/>
      <c r="AA64" s="10"/>
      <c r="AB64" s="10"/>
      <c r="AC64" s="10"/>
    </row>
    <row r="65">
      <c r="C65" s="8" t="s">
        <v>24</v>
      </c>
      <c r="D65" s="9">
        <v>46230.55287037037</v>
      </c>
      <c r="E65" s="8">
        <v>9.0</v>
      </c>
      <c r="F65" s="8" t="s">
        <v>25</v>
      </c>
      <c r="G65" s="8">
        <v>1.0</v>
      </c>
      <c r="H65" s="8" t="s">
        <v>32</v>
      </c>
      <c r="I65" s="8" t="s">
        <v>33</v>
      </c>
      <c r="J65" s="8" t="s">
        <v>30</v>
      </c>
      <c r="K65" s="8">
        <v>90.0</v>
      </c>
      <c r="L65" s="8">
        <v>90.0</v>
      </c>
      <c r="M65" s="8">
        <f t="shared" si="9"/>
        <v>0</v>
      </c>
      <c r="N65" s="8">
        <v>94.17</v>
      </c>
      <c r="O65" s="8">
        <v>94.17</v>
      </c>
      <c r="P65" s="8">
        <v>94.17</v>
      </c>
      <c r="Q65" s="8">
        <v>0.0</v>
      </c>
      <c r="R65" s="8">
        <v>0.0</v>
      </c>
      <c r="S65" s="8">
        <v>0.0</v>
      </c>
      <c r="T65" s="8">
        <v>1.0</v>
      </c>
      <c r="U65" s="8">
        <v>0.0</v>
      </c>
      <c r="V65" s="8" t="s">
        <v>51</v>
      </c>
      <c r="W65" s="10"/>
      <c r="X65" s="10"/>
      <c r="Y65" s="10"/>
      <c r="Z65" s="10"/>
      <c r="AA65" s="10"/>
      <c r="AB65" s="10"/>
      <c r="AC65" s="10"/>
    </row>
    <row r="66">
      <c r="C66" s="8" t="s">
        <v>24</v>
      </c>
      <c r="D66" s="9">
        <v>46230.55287037037</v>
      </c>
      <c r="E66" s="8">
        <v>9.0</v>
      </c>
      <c r="F66" s="8" t="s">
        <v>25</v>
      </c>
      <c r="G66" s="8">
        <v>1.0</v>
      </c>
      <c r="H66" s="8" t="s">
        <v>32</v>
      </c>
      <c r="I66" s="8" t="s">
        <v>33</v>
      </c>
      <c r="J66" s="8" t="s">
        <v>31</v>
      </c>
      <c r="K66" s="8">
        <v>90.0</v>
      </c>
      <c r="L66" s="8">
        <v>75.0</v>
      </c>
      <c r="M66" s="8">
        <f t="shared" si="9"/>
        <v>15</v>
      </c>
      <c r="N66" s="8">
        <v>88.99</v>
      </c>
      <c r="O66" s="8">
        <v>88.99</v>
      </c>
      <c r="P66" s="8">
        <v>89.04</v>
      </c>
      <c r="Q66" s="8">
        <v>0.0</v>
      </c>
      <c r="R66" s="8">
        <v>0.0</v>
      </c>
      <c r="S66" s="8">
        <v>0.0</v>
      </c>
      <c r="T66" s="8">
        <v>1.0</v>
      </c>
      <c r="U66" s="8">
        <v>0.0</v>
      </c>
      <c r="V66" s="8" t="s">
        <v>51</v>
      </c>
      <c r="W66" s="10"/>
      <c r="X66" s="10"/>
      <c r="Y66" s="10"/>
      <c r="Z66" s="10"/>
      <c r="AA66" s="10"/>
      <c r="AB66" s="10"/>
      <c r="AC66" s="10"/>
    </row>
    <row r="69">
      <c r="M69" s="18"/>
    </row>
  </sheetData>
  <mergeCells count="18">
    <mergeCell ref="A5:A10"/>
    <mergeCell ref="B5:B10"/>
    <mergeCell ref="A12:A17"/>
    <mergeCell ref="B12:B17"/>
    <mergeCell ref="A19:A24"/>
    <mergeCell ref="B19:B24"/>
    <mergeCell ref="B26:B31"/>
    <mergeCell ref="A54:A59"/>
    <mergeCell ref="B54:B59"/>
    <mergeCell ref="A61:A66"/>
    <mergeCell ref="B61:B66"/>
    <mergeCell ref="A26:A31"/>
    <mergeCell ref="A33:A38"/>
    <mergeCell ref="B33:B38"/>
    <mergeCell ref="A40:A45"/>
    <mergeCell ref="B40:B45"/>
    <mergeCell ref="A47:A52"/>
    <mergeCell ref="B47:B52"/>
  </mergeCells>
  <drawing r:id="rId1"/>
</worksheet>
</file>